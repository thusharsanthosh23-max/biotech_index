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834e84c04d41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b0cb5778bf04f24"/>
    <x:sheet xmlns:r="http://schemas.openxmlformats.org/officeDocument/2006/relationships" name="Monthly_Prices" sheetId="2" r:id="R90351e2685c246bb"/>
    <x:sheet xmlns:r="http://schemas.openxmlformats.org/officeDocument/2006/relationships" name="Monthly_Returns" sheetId="3" r:id="Rd9e495f4e17b4d84"/>
    <x:sheet xmlns:r="http://schemas.openxmlformats.org/officeDocument/2006/relationships" name="Backtest" sheetId="4" r:id="R1b93c32e34254b4b"/>
    <x:sheet xmlns:r="http://schemas.openxmlformats.org/officeDocument/2006/relationships" name="Factor_Data" sheetId="5" r:id="R71cd95a408414b61"/>
    <x:sheet xmlns:r="http://schemas.openxmlformats.org/officeDocument/2006/relationships" name="Methodology" sheetId="6" r:id="R50b27a9d6e3b4d0d"/>
    <x:sheet xmlns:r="http://schemas.openxmlformats.org/officeDocument/2006/relationships" name="Sources" sheetId="7" r:id="R51fa87aa4f1e41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;[Red](0.0%);-"/>
    <x:numFmt numFmtId="201" formatCode="0.00x;[Red](0.00x);-"/>
    <x:numFmt numFmtId="202" formatCode="@"/>
    <x:numFmt numFmtId="203" formatCode="$#,##0.00;[Red]($#,##0.00);-"/>
    <x:numFmt numFmtId="204" formatCode="0.0;[Red](0.0);-"/>
    <x:numFmt numFmtId="205" formatCode="$#,##0,,.0 &quot;mm&quot;;[Red]($#,##0,,.0 &quot;mm&quot;);-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horizontal="left"/>
    </x:xf>
    <x:xf numFmtId="0" fontId="4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af4a4ae8d24671" /><Relationship Type="http://schemas.openxmlformats.org/officeDocument/2006/relationships/theme" Target="/xl/theme/theme1.xml" Id="R1397d81654dc4217" /><Relationship Type="http://schemas.openxmlformats.org/officeDocument/2006/relationships/sharedStrings" Target="/xl/sharedStrings.xml" Id="R57c58539439b460d" /><Relationship Type="http://schemas.openxmlformats.org/officeDocument/2006/relationships/worksheet" Target="/xl/worksheets/sheet1.xml" Id="Rab0cb5778bf04f24" /><Relationship Type="http://schemas.openxmlformats.org/officeDocument/2006/relationships/worksheet" Target="/xl/worksheets/sheet2.xml" Id="R90351e2685c246bb" /><Relationship Type="http://schemas.openxmlformats.org/officeDocument/2006/relationships/worksheet" Target="/xl/worksheets/sheet3.xml" Id="Rd9e495f4e17b4d84" /><Relationship Type="http://schemas.openxmlformats.org/officeDocument/2006/relationships/worksheet" Target="/xl/worksheets/sheet4.xml" Id="R1b93c32e34254b4b" /><Relationship Type="http://schemas.openxmlformats.org/officeDocument/2006/relationships/worksheet" Target="/xl/worksheets/sheet5.xml" Id="R71cd95a408414b61" /><Relationship Type="http://schemas.openxmlformats.org/officeDocument/2006/relationships/worksheet" Target="/xl/worksheets/sheet6.xml" Id="R50b27a9d6e3b4d0d" /><Relationship Type="http://schemas.openxmlformats.org/officeDocument/2006/relationships/worksheet" Target="/xl/worksheets/sheet7.xml" Id="R51fa87aa4f1e410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6344bfe590e47e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Growth of $100: Watchlist vs XBI / IBB / SPY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Watchlist Index</c:v>
          </c:tx>
          <c:cat>
            <c:strRef>
              <c:f>'Backtest'!$H$4:$H$28</c:f>
              <c:strCache>
                <c:ptCount val="0"/>
              </c:strCache>
            </c:strRef>
          </c:cat>
          <c:val>
            <c:numRef>
              <c:f>'Backtest'!$I$4:$I$28</c:f>
              <c:numCache>
                <c:formatCode>0.0;[Red](0.0);-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XBI Index</c:v>
          </c:tx>
          <c:cat>
            <c:strRef>
              <c:f>'Backtest'!$H$4:$H$28</c:f>
              <c:strCache>
                <c:ptCount val="0"/>
              </c:strCache>
            </c:strRef>
          </c:cat>
          <c:val>
            <c:numRef>
              <c:f>'Backtest'!$J$4:$J$28</c:f>
              <c:numCache>
                <c:formatCode>0.0;[Red](0.0);-</c:formatCode>
                <c:ptCount val="0"/>
              </c:numCache>
            </c:numRef>
          </c:val>
          <c:smooth val="0"/>
        </c:ser>
        <c:ser>
          <c:idx val="2"/>
          <c:order val="2"/>
          <c:tx>
            <c:v>IBB Index</c:v>
          </c:tx>
          <c:cat>
            <c:strRef>
              <c:f>'Backtest'!$H$4:$H$28</c:f>
              <c:strCache>
                <c:ptCount val="0"/>
              </c:strCache>
            </c:strRef>
          </c:cat>
          <c:val>
            <c:numRef>
              <c:f>'Backtest'!$K$4:$K$28</c:f>
              <c:numCache>
                <c:formatCode>0.0;[Red](0.0);-</c:formatCode>
                <c:ptCount val="0"/>
              </c:numCache>
            </c:numRef>
          </c:val>
          <c:smooth val="0"/>
        </c:ser>
        <c:ser>
          <c:idx val="3"/>
          <c:order val="3"/>
          <c:tx>
            <c:v>SPY Index</c:v>
          </c:tx>
          <c:cat>
            <c:strRef>
              <c:f>'Backtest'!$H$4:$H$28</c:f>
              <c:strCache>
                <c:ptCount val="0"/>
              </c:strCache>
            </c:strRef>
          </c:cat>
          <c:val>
            <c:numRef>
              <c:f>'Backtest'!$L$4:$L$28</c:f>
              <c:numCache>
                <c:formatCode>0.0;[Red](0.0);-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7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344bfe590e47e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nthlyPricesTable" displayName="MonthlyPricesTable" ref="A1:M26" headerRowCount="1">
  <x:tableColumns count="13">
    <x:tableColumn id="1" name="Month"/>
    <x:tableColumn id="2" name="NBTX"/>
    <x:tableColumn id="3" name="IONS"/>
    <x:tableColumn id="4" name="CYTK"/>
    <x:tableColumn id="5" name="GRAL"/>
    <x:tableColumn id="6" name="CDNA"/>
    <x:tableColumn id="7" name="CTMX"/>
    <x:tableColumn id="8" name="GPCR"/>
    <x:tableColumn id="9" name="IDYA"/>
    <x:tableColumn id="10" name="NRIX"/>
    <x:tableColumn id="11" name="XBI"/>
    <x:tableColumn id="12" name="IBB"/>
    <x:tableColumn id="13" name="SPY"/>
  </x:tableColumns>
  <x:tableStyleInfo name="TableStyleMedium2" showRowStripes="1"/>
</x:table>
</file>

<file path=xl/tables/table2.xml><?xml version="1.0" encoding="utf-8"?>
<x:table xmlns:x="http://schemas.openxmlformats.org/spreadsheetml/2006/main" id="2" name="MonthlyReturnsTable" displayName="MonthlyReturnsTable" ref="A1:M26" headerRowCount="1">
  <x:tableColumns count="13">
    <x:tableColumn id="1" name="Month"/>
    <x:tableColumn id="2" name="NBTX"/>
    <x:tableColumn id="3" name="IONS"/>
    <x:tableColumn id="4" name="CYTK"/>
    <x:tableColumn id="5" name="GRAL"/>
    <x:tableColumn id="6" name="CDNA"/>
    <x:tableColumn id="7" name="CTMX"/>
    <x:tableColumn id="8" name="GPCR"/>
    <x:tableColumn id="9" name="IDYA"/>
    <x:tableColumn id="10" name="NRIX"/>
    <x:tableColumn id="11" name="XBI"/>
    <x:tableColumn id="12" name="IBB"/>
    <x:tableColumn id="13" name="SPY"/>
  </x:tableColumns>
  <x:tableStyleInfo name="TableStyleMedium2" showRowStripes="1"/>
</x:table>
</file>

<file path=xl/tables/table3.xml><?xml version="1.0" encoding="utf-8"?>
<x:table xmlns:x="http://schemas.openxmlformats.org/spreadsheetml/2006/main" id="3" name="FactorDataTable" displayName="FactorDataTable" ref="A1:J13" headerRowCount="1">
  <x:tableColumns count="10">
    <x:tableColumn id="1" name="Ticker"/>
    <x:tableColumn id="2" name="Company / ETF"/>
    <x:tableColumn id="3" name="Current Price"/>
    <x:tableColumn id="4" name="Market Cap"/>
    <x:tableColumn id="5" name="EPS"/>
    <x:tableColumn id="6" name="P/E"/>
    <x:tableColumn id="7" name="52W Low"/>
    <x:tableColumn id="8" name="52W High"/>
    <x:tableColumn id="9" name="Notes"/>
    <x:tableColumn id="10" name="Source URL"/>
  </x:tableColumns>
  <x:tableStyleInfo name="TableStyleMedium2" showRowStripes="1"/>
</x:table>
</file>

<file path=xl/tables/table4.xml><?xml version="1.0" encoding="utf-8"?>
<x:table xmlns:x="http://schemas.openxmlformats.org/spreadsheetml/2006/main" id="4" name="SourcesTable" displayName="SourcesTable" ref="A1:D6" headerRowCount="1">
  <x:tableColumns count="4">
    <x:tableColumn id="1" name="Source"/>
    <x:tableColumn id="2" name="Type"/>
    <x:tableColumn id="3" name="Used For"/>
    <x:tableColumn id="4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ff1594e6e048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03d0dbbc7240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97804f6a596e4e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d2e5674311ce42c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4bfb6f182ef9475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38" t="str">
        <x:v>Biotech Watchlist Backtest — Option A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3">
      <x:c r="A3" s="11" t="str">
        <x:v>Portfolio / Benchmark</x:v>
      </x:c>
      <x:c r="B3" s="11" t="str">
        <x:v>Total Return</x:v>
      </x:c>
      <x:c r="C3" s="11" t="str">
        <x:v>CAGR</x:v>
      </x:c>
      <x:c r="D3" s="11" t="str">
        <x:v>Volatility</x:v>
      </x:c>
      <x:c r="E3" s="11" t="str">
        <x:v>Sharpe (4% rf)</x:v>
      </x:c>
      <x:c r="F3" s="11" t="str">
        <x:v>Max Drawdown</x:v>
      </x:c>
    </x:row>
    <x:row r="4">
      <x:c r="A4" t="str">
        <x:v>Equal-Weight Watchlist</x:v>
      </x:c>
      <x:c r="B4" s="16" t="n">
        <x:f>Backtest!B4</x:f>
        <x:v>1.2866062048580345</x:v>
      </x:c>
      <x:c r="C4" s="16" t="n">
        <x:f>Backtest!C4</x:f>
        <x:v>0.51215283779717</x:v>
      </x:c>
      <x:c r="D4" s="16" t="n">
        <x:f>Backtest!D4</x:f>
        <x:v>0.46663261221416846</x:v>
      </x:c>
      <x:c r="E4" s="18" t="n">
        <x:f>Backtest!E4</x:f>
        <x:v>1.0118299180951116</x:v>
      </x:c>
      <x:c r="F4" s="16" t="n">
        <x:f>Backtest!F4</x:f>
        <x:v>-0.3374862603588811</x:v>
      </x:c>
    </x:row>
    <x:row r="5">
      <x:c r="A5" t="str">
        <x:v>XBI</x:v>
      </x:c>
      <x:c r="B5" s="16" t="n">
        <x:f>Backtest!B5</x:f>
        <x:v>0.4487276664861941</x:v>
      </x:c>
      <x:c r="C5" s="16" t="n">
        <x:f>Backtest!C5</x:f>
        <x:v>0.20363103419868422</x:v>
      </x:c>
      <x:c r="D5" s="16" t="n">
        <x:f>Backtest!D5</x:f>
        <x:v>0.18554841927772348</x:v>
      </x:c>
      <x:c r="E5" s="18" t="n">
        <x:f>Backtest!E5</x:f>
        <x:v>0.8818778130023627</x:v>
      </x:c>
      <x:c r="F5" s="16" t="n">
        <x:f>Backtest!F5</x:f>
        <x:v>-0.21772754312908982</x:v>
      </x:c>
    </x:row>
    <x:row r="6">
      <x:c r="A6" t="str">
        <x:v>IBB</x:v>
      </x:c>
      <x:c r="B6" s="16" t="n">
        <x:f>Backtest!B6</x:f>
        <x:v>0.26127709431751533</x:v>
      </x:c>
      <x:c r="C6" s="16" t="n">
        <x:f>Backtest!C6</x:f>
        <x:v>0.12306593498223206</x:v>
      </x:c>
      <x:c r="D6" s="16" t="n">
        <x:f>Backtest!D6</x:f>
        <x:v>0.154548963815718</x:v>
      </x:c>
      <x:c r="E6" s="18" t="n">
        <x:f>Backtest!E6</x:f>
        <x:v>0.5374732572214376</x:v>
      </x:c>
      <x:c r="F6" s="16" t="n">
        <x:f>Backtest!F6</x:f>
        <x:v>-0.17624313140221148</x:v>
      </x:c>
    </x:row>
    <x:row r="7">
      <x:c r="A7" t="str">
        <x:v>SPY</x:v>
      </x:c>
      <x:c r="B7" s="16" t="n">
        <x:f>Backtest!B7</x:f>
        <x:v>0.41088180112570405</x:v>
      </x:c>
      <x:c r="C7" s="16" t="n">
        <x:f>Backtest!C7</x:f>
        <x:v>0.18780545592521336</x:v>
      </x:c>
      <x:c r="D7" s="16" t="n">
        <x:f>Backtest!D7</x:f>
        <x:v>0.12231744114863186</x:v>
      </x:c>
      <x:c r="E7" s="18" t="n">
        <x:f>Backtest!E7</x:f>
        <x:v>1.2083759645168688</x:v>
      </x:c>
      <x:c r="F7" s="16" t="n">
        <x:f>Backtest!F7</x:f>
        <x:v>-0.07577545515846262</x:v>
      </x:c>
    </x:row>
    <x:row r="10">
      <x:c r="A10" s="21" t="str">
        <x:v>Readout</x:v>
      </x:c>
    </x:row>
    <x:row r="11">
      <x:c r="A11" s="24" t="str">
        <x:v>Backtest period</x:v>
      </x:c>
      <x:c r="B11" s="26" t="str">
        <x:v>2024-06 to 2026-06</x:v>
      </x:c>
      <x:c r="C11" s="26" t="str"/>
      <x:c r="D11" s="26" t="str"/>
      <x:c r="E11" s="26" t="str"/>
      <x:c r="F11" s="26" t="str"/>
      <x:c r="G11" s="26" t="str"/>
      <x:c r="H11" s="26" t="str"/>
    </x:row>
    <x:row r="12">
      <x:c r="A12" s="24" t="str">
        <x:v>Portfolio construction</x:v>
      </x:c>
      <x:c r="B12" s="26" t="str">
        <x:v>Equal-weight 9-stock watchlist; monthly rebalanced proxy using month-end adjusted prices</x:v>
      </x:c>
      <x:c r="C12" s="26" t="str"/>
      <x:c r="D12" s="26" t="str"/>
      <x:c r="E12" s="26" t="str"/>
      <x:c r="F12" s="26" t="str"/>
      <x:c r="G12" s="26" t="str"/>
      <x:c r="H12" s="26" t="str"/>
    </x:row>
    <x:row r="13">
      <x:c r="A13" s="24" t="str">
        <x:v>Benchmarks</x:v>
      </x:c>
      <x:c r="B13" s="26" t="str">
        <x:v>XBI, IBB, SPY</x:v>
      </x:c>
      <x:c r="C13" s="26" t="str"/>
      <x:c r="D13" s="26" t="str"/>
      <x:c r="E13" s="26" t="str"/>
      <x:c r="F13" s="26" t="str"/>
      <x:c r="G13" s="26" t="str"/>
      <x:c r="H13" s="26" t="str"/>
    </x:row>
    <x:row r="14">
      <x:c r="A14" s="24" t="str">
        <x:v>Main result</x:v>
      </x:c>
      <x:c r="B14" s="26" t="str">
        <x:v>Model watchlist outperformed benchmarks over the sampled period, but with materially higher volatility/drawdown.</x:v>
      </x:c>
      <x:c r="C14" s="26" t="str"/>
      <x:c r="D14" s="26" t="str"/>
      <x:c r="E14" s="26" t="str"/>
      <x:c r="F14" s="26" t="str"/>
      <x:c r="G14" s="26" t="str"/>
      <x:c r="H14" s="26" t="str"/>
    </x:row>
    <x:row r="15">
      <x:c r="A15" s="24" t="str">
        <x:v>Limitation</x:v>
      </x:c>
      <x:c r="B15" s="26" t="str">
        <x:v>This is a realized-watchlist price backtest, not a point-in-time factor backtest. It does not prove factor predictiveness.</x:v>
      </x:c>
      <x:c r="C15" s="26" t="str"/>
      <x:c r="D15" s="26" t="str"/>
      <x:c r="E15" s="26" t="str"/>
      <x:c r="F15" s="26" t="str"/>
      <x:c r="G15" s="26" t="str"/>
      <x:c r="H15" s="26" t="str"/>
    </x:row>
    <x:row r="16">
      <x:c r="A16" s="24" t="str">
        <x:v>Missing data</x:v>
      </x:c>
      <x:c r="B16" s="26" t="str">
        <x:v>User watchlist has 9 named stocks. CDNA May 2026 price was unavailable from Digrin and is left blank; return calc skips that missing monthly pair.</x:v>
      </x:c>
      <x:c r="C16" s="26" t="str"/>
      <x:c r="D16" s="26" t="str"/>
      <x:c r="E16" s="26" t="str"/>
      <x:c r="F16" s="26" t="str"/>
      <x:c r="G16" s="26" t="str"/>
      <x:c r="H16" s="26" t="str"/>
    </x:row>
  </x:sheetData>
  <x:mergeCells>
    <x:mergeCell ref="A1:H1"/>
    <x:mergeCell ref="A10:H10"/>
  </x:mergeCells>
  <x:conditionalFormatting sqref="B4:F7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.75" hidden="0" customWidth="1"/>
    <x:col min="3" max="3" width="6.5" hidden="0" customWidth="1"/>
    <x:col min="4" max="4" width="6.5" hidden="0" customWidth="1"/>
    <x:col min="5" max="5" width="6.75" hidden="0" customWidth="1"/>
    <x:col min="6" max="6" width="7.130000114440918" hidden="0" customWidth="1"/>
    <x:col min="7" max="7" width="7.130000114440918" hidden="0" customWidth="1"/>
    <x:col min="8" max="8" width="6.880000114440918" hidden="0" customWidth="1"/>
    <x:col min="9" max="9" width="6.25" hidden="0" customWidth="1"/>
    <x:col min="10" max="10" width="6.5" hidden="0" customWidth="1"/>
    <x:col min="11" max="11" width="6.630000114440918" hidden="0" customWidth="1"/>
    <x:col min="12" max="12" width="6.630000114440918" hidden="0" customWidth="1"/>
    <x:col min="13" max="13" width="6.630000114440918" hidden="0" customWidth="1"/>
  </x:cols>
  <x:sheetData>
    <x:row r="1">
      <x:c r="A1" s="42" t="str">
        <x:v>Month</x:v>
      </x:c>
      <x:c r="B1" s="42" t="str">
        <x:v>NBTX</x:v>
      </x:c>
      <x:c r="C1" s="42" t="str">
        <x:v>IONS</x:v>
      </x:c>
      <x:c r="D1" s="42" t="str">
        <x:v>CYTK</x:v>
      </x:c>
      <x:c r="E1" s="42" t="str">
        <x:v>GRAL</x:v>
      </x:c>
      <x:c r="F1" s="42" t="str">
        <x:v>CDNA</x:v>
      </x:c>
      <x:c r="G1" s="42" t="str">
        <x:v>CTMX</x:v>
      </x:c>
      <x:c r="H1" s="42" t="str">
        <x:v>GPCR</x:v>
      </x:c>
      <x:c r="I1" s="42" t="str">
        <x:v>IDYA</x:v>
      </x:c>
      <x:c r="J1" s="42" t="str">
        <x:v>NRIX</x:v>
      </x:c>
      <x:c r="K1" s="42" t="str">
        <x:v>XBI</x:v>
      </x:c>
      <x:c r="L1" s="42" t="str">
        <x:v>IBB</x:v>
      </x:c>
      <x:c r="M1" s="42" t="str">
        <x:v>SPY</x:v>
      </x:c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28" t="str">
        <x:v>2024-06</x:v>
      </x:c>
      <x:c r="B2" s="30" t="n">
        <x:v>5</x:v>
      </x:c>
      <x:c r="C2" s="30" t="n">
        <x:v>47.66</x:v>
      </x:c>
      <x:c r="D2" s="30" t="n">
        <x:v>54.18</x:v>
      </x:c>
      <x:c r="E2" s="30" t="n">
        <x:v>15.37</x:v>
      </x:c>
      <x:c r="F2" s="30" t="n">
        <x:v>15.53</x:v>
      </x:c>
      <x:c r="G2" s="30" t="n">
        <x:v>1.22</x:v>
      </x:c>
      <x:c r="H2" s="30" t="n">
        <x:v>39.27</x:v>
      </x:c>
      <x:c r="I2" s="30" t="n">
        <x:v>35.11</x:v>
      </x:c>
      <x:c r="J2" s="30" t="n">
        <x:v>20.87</x:v>
      </x:c>
      <x:c r="K2" s="30" t="n">
        <x:v>92.35</x:v>
      </x:c>
      <x:c r="L2" s="30" t="n">
        <x:v>136.56</x:v>
      </x:c>
      <x:c r="M2" s="30" t="n">
        <x:v>533</x:v>
      </x:c>
    </x:row>
    <x:row r="3">
      <x:c r="A3" s="28" t="str">
        <x:v>2024-07</x:v>
      </x:c>
      <x:c r="B3" s="30" t="n">
        <x:v>5.42</x:v>
      </x:c>
      <x:c r="C3" s="30" t="n">
        <x:v>49.46</x:v>
      </x:c>
      <x:c r="D3" s="30" t="n">
        <x:v>59.01</x:v>
      </x:c>
      <x:c r="E3" s="30" t="n">
        <x:v>15.38</x:v>
      </x:c>
      <x:c r="F3" s="30" t="n">
        <x:v>19.99</x:v>
      </x:c>
      <x:c r="G3" s="30" t="n">
        <x:v>1.38</x:v>
      </x:c>
      <x:c r="H3" s="30" t="n">
        <x:v>37.39</x:v>
      </x:c>
      <x:c r="I3" s="30" t="n">
        <x:v>43.05</x:v>
      </x:c>
      <x:c r="J3" s="30" t="n">
        <x:v>21.88</x:v>
      </x:c>
      <x:c r="K3" s="30" t="n">
        <x:v>98.67</x:v>
      </x:c>
      <x:c r="L3" s="30" t="n">
        <x:v>147.21</x:v>
      </x:c>
      <x:c r="M3" s="30" t="n">
        <x:v>539.45</x:v>
      </x:c>
    </x:row>
    <x:row r="4">
      <x:c r="A4" s="28" t="str">
        <x:v>2024-08</x:v>
      </x:c>
      <x:c r="B4" s="30" t="n">
        <x:v>6</x:v>
      </x:c>
      <x:c r="C4" s="30" t="n">
        <x:v>47.68</x:v>
      </x:c>
      <x:c r="D4" s="30" t="n">
        <x:v>57.08</x:v>
      </x:c>
      <x:c r="E4" s="30" t="n">
        <x:v>14.11</x:v>
      </x:c>
      <x:c r="F4" s="30" t="n">
        <x:v>30.73</x:v>
      </x:c>
      <x:c r="G4" s="30" t="n">
        <x:v>1.18</x:v>
      </x:c>
      <x:c r="H4" s="30" t="n">
        <x:v>38.13</x:v>
      </x:c>
      <x:c r="I4" s="30" t="n">
        <x:v>39.5</x:v>
      </x:c>
      <x:c r="J4" s="30" t="n">
        <x:v>25.2</x:v>
      </x:c>
      <x:c r="K4" s="30" t="n">
        <x:v>100.86</x:v>
      </x:c>
      <x:c r="L4" s="30" t="n">
        <x:v>147.41</x:v>
      </x:c>
      <x:c r="M4" s="30" t="n">
        <x:v>552.06</x:v>
      </x:c>
    </x:row>
    <x:row r="5">
      <x:c r="A5" s="28" t="str">
        <x:v>2024-09</x:v>
      </x:c>
      <x:c r="B5" s="30" t="n">
        <x:v>5.75</x:v>
      </x:c>
      <x:c r="C5" s="30" t="n">
        <x:v>40.06</x:v>
      </x:c>
      <x:c r="D5" s="30" t="n">
        <x:v>52.8</x:v>
      </x:c>
      <x:c r="E5" s="30" t="n">
        <x:v>13.76</x:v>
      </x:c>
      <x:c r="F5" s="30" t="n">
        <x:v>31.22</x:v>
      </x:c>
      <x:c r="G5" s="30" t="n">
        <x:v>1.18</x:v>
      </x:c>
      <x:c r="H5" s="30" t="n">
        <x:v>43.89</x:v>
      </x:c>
      <x:c r="I5" s="30" t="n">
        <x:v>31.68</x:v>
      </x:c>
      <x:c r="J5" s="30" t="n">
        <x:v>22.47</x:v>
      </x:c>
      <x:c r="K5" s="30" t="n">
        <x:v>98.43</x:v>
      </x:c>
      <x:c r="L5" s="30" t="n">
        <x:v>145.06</x:v>
      </x:c>
      <x:c r="M5" s="30" t="n">
        <x:v>563.65</x:v>
      </x:c>
    </x:row>
    <x:row r="6">
      <x:c r="A6" s="28" t="str">
        <x:v>2024-10</x:v>
      </x:c>
      <x:c r="B6" s="30" t="n">
        <x:v>4.16</x:v>
      </x:c>
      <x:c r="C6" s="30" t="n">
        <x:v>38.39</x:v>
      </x:c>
      <x:c r="D6" s="30" t="n">
        <x:v>51</x:v>
      </x:c>
      <x:c r="E6" s="30" t="n">
        <x:v>13.57</x:v>
      </x:c>
      <x:c r="F6" s="30" t="n">
        <x:v>22.13</x:v>
      </x:c>
      <x:c r="G6" s="30" t="n">
        <x:v>1</x:v>
      </x:c>
      <x:c r="H6" s="30" t="n">
        <x:v>41.15</x:v>
      </x:c>
      <x:c r="I6" s="30" t="n">
        <x:v>28.15</x:v>
      </x:c>
      <x:c r="J6" s="30" t="n">
        <x:v>24.58</x:v>
      </x:c>
      <x:c r="K6" s="30" t="n">
        <x:v>96.67</x:v>
      </x:c>
      <x:c r="L6" s="30" t="n">
        <x:v>139.77</x:v>
      </x:c>
      <x:c r="M6" s="30" t="n">
        <x:v>558.62</x:v>
      </x:c>
    </x:row>
    <x:row r="7">
      <x:c r="A7" s="28" t="str">
        <x:v>2024-11</x:v>
      </x:c>
      <x:c r="B7" s="30" t="n">
        <x:v>3.23</x:v>
      </x:c>
      <x:c r="C7" s="30" t="n">
        <x:v>35.73</x:v>
      </x:c>
      <x:c r="D7" s="30" t="n">
        <x:v>51.86</x:v>
      </x:c>
      <x:c r="E7" s="30" t="n">
        <x:v>17.5</x:v>
      </x:c>
      <x:c r="F7" s="30" t="n">
        <x:v>24.54</x:v>
      </x:c>
      <x:c r="G7" s="30" t="n">
        <x:v>1.06</x:v>
      </x:c>
      <x:c r="H7" s="30" t="n">
        <x:v>33.15</x:v>
      </x:c>
      <x:c r="I7" s="30" t="n">
        <x:v>27.36</x:v>
      </x:c>
      <x:c r="J7" s="30" t="n">
        <x:v>22.11</x:v>
      </x:c>
      <x:c r="K7" s="30" t="n">
        <x:v>99.25</x:v>
      </x:c>
      <x:c r="L7" s="30" t="n">
        <x:v>141.02</x:v>
      </x:c>
      <x:c r="M7" s="30" t="n">
        <x:v>591.93</x:v>
      </x:c>
    </x:row>
    <x:row r="8">
      <x:c r="A8" s="28" t="str">
        <x:v>2024-12</x:v>
      </x:c>
      <x:c r="B8" s="30" t="n">
        <x:v>2.87</x:v>
      </x:c>
      <x:c r="C8" s="30" t="n">
        <x:v>34.96</x:v>
      </x:c>
      <x:c r="D8" s="30" t="n">
        <x:v>47.04</x:v>
      </x:c>
      <x:c r="E8" s="30" t="n">
        <x:v>17.85</x:v>
      </x:c>
      <x:c r="F8" s="30" t="n">
        <x:v>21.41</x:v>
      </x:c>
      <x:c r="G8" s="30" t="n">
        <x:v>1.03</x:v>
      </x:c>
      <x:c r="H8" s="30" t="n">
        <x:v>27.12</x:v>
      </x:c>
      <x:c r="I8" s="30" t="n">
        <x:v>25.7</x:v>
      </x:c>
      <x:c r="J8" s="30" t="n">
        <x:v>18.84</x:v>
      </x:c>
      <x:c r="K8" s="30" t="n">
        <x:v>89.72</x:v>
      </x:c>
      <x:c r="L8" s="30" t="n">
        <x:v>131.78</x:v>
      </x:c>
      <x:c r="M8" s="30" t="n">
        <x:v>577.69</x:v>
      </x:c>
    </x:row>
    <x:row r="9">
      <x:c r="A9" s="28" t="str">
        <x:v>2025-01</x:v>
      </x:c>
      <x:c r="B9" s="30" t="n">
        <x:v>3.48</x:v>
      </x:c>
      <x:c r="C9" s="30" t="n">
        <x:v>31.9</x:v>
      </x:c>
      <x:c r="D9" s="30" t="n">
        <x:v>49.46</x:v>
      </x:c>
      <x:c r="E9" s="30" t="n">
        <x:v>30.28</x:v>
      </x:c>
      <x:c r="F9" s="30" t="n">
        <x:v>23.3</x:v>
      </x:c>
      <x:c r="G9" s="30" t="n">
        <x:v>0.85</x:v>
      </x:c>
      <x:c r="H9" s="30" t="n">
        <x:v>29.97</x:v>
      </x:c>
      <x:c r="I9" s="30" t="n">
        <x:v>24.35</x:v>
      </x:c>
      <x:c r="J9" s="30" t="n">
        <x:v>19.71</x:v>
      </x:c>
      <x:c r="K9" s="30" t="n">
        <x:v>92.32</x:v>
      </x:c>
      <x:c r="L9" s="30" t="n">
        <x:v>138.2</x:v>
      </x:c>
      <x:c r="M9" s="30" t="n">
        <x:v>593.2</x:v>
      </x:c>
    </x:row>
    <x:row r="10">
      <x:c r="A10" s="28" t="str">
        <x:v>2025-02</x:v>
      </x:c>
      <x:c r="B10" s="30" t="n">
        <x:v>3.51</x:v>
      </x:c>
      <x:c r="C10" s="30" t="n">
        <x:v>33.19</x:v>
      </x:c>
      <x:c r="D10" s="30" t="n">
        <x:v>46</x:v>
      </x:c>
      <x:c r="E10" s="30" t="n">
        <x:v>38.56</x:v>
      </x:c>
      <x:c r="F10" s="30" t="n">
        <x:v>22.15</x:v>
      </x:c>
      <x:c r="G10" s="30" t="n">
        <x:v>0.68</x:v>
      </x:c>
      <x:c r="H10" s="30" t="n">
        <x:v>23.75</x:v>
      </x:c>
      <x:c r="I10" s="30" t="n">
        <x:v>20.57</x:v>
      </x:c>
      <x:c r="J10" s="30" t="n">
        <x:v>15.45</x:v>
      </x:c>
      <x:c r="K10" s="30" t="n">
        <x:v>88.38</x:v>
      </x:c>
      <x:c r="L10" s="30" t="n">
        <x:v>136.58</x:v>
      </x:c>
      <x:c r="M10" s="30" t="n">
        <x:v>585.68</x:v>
      </x:c>
    </x:row>
    <x:row r="11">
      <x:c r="A11" s="28" t="str">
        <x:v>2025-03</x:v>
      </x:c>
      <x:c r="B11" s="30" t="n">
        <x:v>3.58</x:v>
      </x:c>
      <x:c r="C11" s="30" t="n">
        <x:v>30.17</x:v>
      </x:c>
      <x:c r="D11" s="30" t="n">
        <x:v>40.19</x:v>
      </x:c>
      <x:c r="E11" s="30" t="n">
        <x:v>25.54</x:v>
      </x:c>
      <x:c r="F11" s="30" t="n">
        <x:v>17.75</x:v>
      </x:c>
      <x:c r="G11" s="30" t="n">
        <x:v>0.64</x:v>
      </x:c>
      <x:c r="H11" s="30" t="n">
        <x:v>17.31</x:v>
      </x:c>
      <x:c r="I11" s="30" t="n">
        <x:v>16.38</x:v>
      </x:c>
      <x:c r="J11" s="30" t="n">
        <x:v>11.88</x:v>
      </x:c>
      <x:c r="K11" s="30" t="n">
        <x:v>80.8</x:v>
      </x:c>
      <x:c r="L11" s="30" t="n">
        <x:v>127.59</x:v>
      </x:c>
      <x:c r="M11" s="30" t="n">
        <x:v>553.04</x:v>
      </x:c>
    </x:row>
    <x:row r="12">
      <x:c r="A12" s="28" t="str">
        <x:v>2025-04</x:v>
      </x:c>
      <x:c r="B12" s="30" t="n">
        <x:v>3.39</x:v>
      </x:c>
      <x:c r="C12" s="30" t="n">
        <x:v>30.71</x:v>
      </x:c>
      <x:c r="D12" s="30" t="n">
        <x:v>42.84</x:v>
      </x:c>
      <x:c r="E12" s="30" t="n">
        <x:v>34.5</x:v>
      </x:c>
      <x:c r="F12" s="30" t="n">
        <x:v>16.88</x:v>
      </x:c>
      <x:c r="G12" s="30" t="n">
        <x:v>0.74</x:v>
      </x:c>
      <x:c r="H12" s="30" t="n">
        <x:v>27</x:v>
      </x:c>
      <x:c r="I12" s="30" t="n">
        <x:v>20.13</x:v>
      </x:c>
      <x:c r="J12" s="30" t="n">
        <x:v>11.53</x:v>
      </x:c>
      <x:c r="K12" s="30" t="n">
        <x:v>82.65</x:v>
      </x:c>
      <x:c r="L12" s="30" t="n">
        <x:v>126.28</x:v>
      </x:c>
      <x:c r="M12" s="30" t="n">
        <x:v>548.25</x:v>
      </x:c>
    </x:row>
    <x:row r="13">
      <x:c r="A13" s="28" t="str">
        <x:v>2025-05</x:v>
      </x:c>
      <x:c r="B13" s="30" t="n">
        <x:v>4.1</x:v>
      </x:c>
      <x:c r="C13" s="30" t="n">
        <x:v>33.51</x:v>
      </x:c>
      <x:c r="D13" s="30" t="n">
        <x:v>31.02</x:v>
      </x:c>
      <x:c r="E13" s="30" t="n">
        <x:v>38.41</x:v>
      </x:c>
      <x:c r="F13" s="30" t="n">
        <x:v>16.99</x:v>
      </x:c>
      <x:c r="G13" s="30" t="n">
        <x:v>2.65</x:v>
      </x:c>
      <x:c r="H13" s="30" t="n">
        <x:v>21.76</x:v>
      </x:c>
      <x:c r="I13" s="30" t="n">
        <x:v>19.89</x:v>
      </x:c>
      <x:c r="J13" s="30" t="n">
        <x:v>10.63</x:v>
      </x:c>
      <x:c r="K13" s="30" t="n">
        <x:v>78.9</x:v>
      </x:c>
      <x:c r="L13" s="30" t="n">
        <x:v>121.43</x:v>
      </x:c>
      <x:c r="M13" s="30" t="n">
        <x:v>582.7</x:v>
      </x:c>
    </x:row>
    <x:row r="14">
      <x:c r="A14" s="28" t="str">
        <x:v>2025-06</x:v>
      </x:c>
      <x:c r="B14" s="30" t="n">
        <x:v>4.73</x:v>
      </x:c>
      <x:c r="C14" s="30" t="n">
        <x:v>39.51</x:v>
      </x:c>
      <x:c r="D14" s="30" t="n">
        <x:v>33.04</x:v>
      </x:c>
      <x:c r="E14" s="30" t="n">
        <x:v>51.42</x:v>
      </x:c>
      <x:c r="F14" s="30" t="n">
        <x:v>19.54</x:v>
      </x:c>
      <x:c r="G14" s="30" t="n">
        <x:v>2.27</x:v>
      </x:c>
      <x:c r="H14" s="30" t="n">
        <x:v>20.74</x:v>
      </x:c>
      <x:c r="I14" s="30" t="n">
        <x:v>21.02</x:v>
      </x:c>
      <x:c r="J14" s="30" t="n">
        <x:v>11.39</x:v>
      </x:c>
      <x:c r="K14" s="30" t="n">
        <x:v>82.63</x:v>
      </x:c>
      <x:c r="L14" s="30" t="n">
        <x:v>126.21</x:v>
      </x:c>
      <x:c r="M14" s="30" t="n">
        <x:v>612.65</x:v>
      </x:c>
    </x:row>
    <x:row r="15">
      <x:c r="A15" s="28" t="str">
        <x:v>2025-07</x:v>
      </x:c>
      <x:c r="B15" s="30" t="n">
        <x:v>6.9</x:v>
      </x:c>
      <x:c r="C15" s="30" t="n">
        <x:v>42.98</x:v>
      </x:c>
      <x:c r="D15" s="30" t="n">
        <x:v>37.64</x:v>
      </x:c>
      <x:c r="E15" s="30" t="n">
        <x:v>34.21</x:v>
      </x:c>
      <x:c r="F15" s="30" t="n">
        <x:v>12.28</x:v>
      </x:c>
      <x:c r="G15" s="30" t="n">
        <x:v>2.19</x:v>
      </x:c>
      <x:c r="H15" s="30" t="n">
        <x:v>17.8</x:v>
      </x:c>
      <x:c r="I15" s="30" t="n">
        <x:v>24.35</x:v>
      </x:c>
      <x:c r="J15" s="30" t="n">
        <x:v>11.26</x:v>
      </x:c>
      <x:c r="K15" s="30" t="n">
        <x:v>85.35</x:v>
      </x:c>
      <x:c r="L15" s="30" t="n">
        <x:v>132.44</x:v>
      </x:c>
      <x:c r="M15" s="30" t="n">
        <x:v>626.76</x:v>
      </x:c>
    </x:row>
    <x:row r="16">
      <x:c r="A16" s="28" t="str">
        <x:v>2025-08</x:v>
      </x:c>
      <x:c r="B16" s="30" t="n">
        <x:v>8.94</x:v>
      </x:c>
      <x:c r="C16" s="30" t="n">
        <x:v>42.64</x:v>
      </x:c>
      <x:c r="D16" s="30" t="n">
        <x:v>35.33</x:v>
      </x:c>
      <x:c r="E16" s="30" t="n">
        <x:v>32.79</x:v>
      </x:c>
      <x:c r="F16" s="30" t="n">
        <x:v>13.66</x:v>
      </x:c>
      <x:c r="G16" s="30" t="n">
        <x:v>2.04</x:v>
      </x:c>
      <x:c r="H16" s="30" t="n">
        <x:v>19.3</x:v>
      </x:c>
      <x:c r="I16" s="30" t="n">
        <x:v>24.55</x:v>
      </x:c>
      <x:c r="J16" s="30" t="n">
        <x:v>9.34</x:v>
      </x:c>
      <x:c r="K16" s="30" t="n">
        <x:v>89.53</x:v>
      </x:c>
      <x:c r="L16" s="30" t="n">
        <x:v>137.89</x:v>
      </x:c>
      <x:c r="M16" s="30" t="n">
        <x:v>639.62</x:v>
      </x:c>
    </x:row>
    <x:row r="17">
      <x:c r="A17" s="28" t="str">
        <x:v>2025-09</x:v>
      </x:c>
      <x:c r="B17" s="30" t="n">
        <x:v>18.89</x:v>
      </x:c>
      <x:c r="C17" s="30" t="n">
        <x:v>65.42</x:v>
      </x:c>
      <x:c r="D17" s="30" t="n">
        <x:v>54.96</x:v>
      </x:c>
      <x:c r="E17" s="30" t="n">
        <x:v>59.13</x:v>
      </x:c>
      <x:c r="F17" s="30" t="n">
        <x:v>14.54</x:v>
      </x:c>
      <x:c r="G17" s="30" t="n">
        <x:v>3.19</x:v>
      </x:c>
      <x:c r="H17" s="30" t="n">
        <x:v>28</x:v>
      </x:c>
      <x:c r="I17" s="30" t="n">
        <x:v>27.21</x:v>
      </x:c>
      <x:c r="J17" s="30" t="n">
        <x:v>9.24</x:v>
      </x:c>
      <x:c r="K17" s="30" t="n">
        <x:v>99.87</x:v>
      </x:c>
      <x:c r="L17" s="30" t="n">
        <x:v>144.11</x:v>
      </x:c>
      <x:c r="M17" s="30" t="n">
        <x:v>662.41</x:v>
      </x:c>
    </x:row>
    <x:row r="18">
      <x:c r="A18" s="28" t="str">
        <x:v>2025-10</x:v>
      </x:c>
      <x:c r="B18" s="30" t="n">
        <x:v>20.87</x:v>
      </x:c>
      <x:c r="C18" s="30" t="n">
        <x:v>74.3</x:v>
      </x:c>
      <x:c r="D18" s="30" t="n">
        <x:v>63.59</x:v>
      </x:c>
      <x:c r="E18" s="30" t="n">
        <x:v>91.93</x:v>
      </x:c>
      <x:c r="F18" s="30" t="n">
        <x:v>15</x:v>
      </x:c>
      <x:c r="G18" s="30" t="n">
        <x:v>3.57</x:v>
      </x:c>
      <x:c r="H18" s="30" t="n">
        <x:v>33.32</x:v>
      </x:c>
      <x:c r="I18" s="30" t="n">
        <x:v>31.86</x:v>
      </x:c>
      <x:c r="J18" s="30" t="n">
        <x:v>12.94</x:v>
      </x:c>
      <x:c r="K18" s="30" t="n">
        <x:v>112.34</x:v>
      </x:c>
      <x:c r="L18" s="30" t="n">
        <x:v>159.09</x:v>
      </x:c>
      <x:c r="M18" s="30" t="n">
        <x:v>678.2</x:v>
      </x:c>
    </x:row>
    <x:row r="19">
      <x:c r="A19" s="28" t="str">
        <x:v>2025-11</x:v>
      </x:c>
      <x:c r="B19" s="30" t="n">
        <x:v>20.69</x:v>
      </x:c>
      <x:c r="C19" s="30" t="n">
        <x:v>82.73</x:v>
      </x:c>
      <x:c r="D19" s="30" t="n">
        <x:v>68.13</x:v>
      </x:c>
      <x:c r="E19" s="30" t="n">
        <x:v>110.39</x:v>
      </x:c>
      <x:c r="F19" s="30" t="n">
        <x:v>17.87</x:v>
      </x:c>
      <x:c r="G19" s="30" t="n">
        <x:v>4.28</x:v>
      </x:c>
      <x:c r="H19" s="30" t="n">
        <x:v>35.81</x:v>
      </x:c>
      <x:c r="I19" s="30" t="n">
        <x:v>35.62</x:v>
      </x:c>
      <x:c r="J19" s="30" t="n">
        <x:v>17.68</x:v>
      </x:c>
      <x:c r="K19" s="30" t="n">
        <x:v>122.75</x:v>
      </x:c>
      <x:c r="L19" s="30" t="n">
        <x:v>173.52</x:v>
      </x:c>
      <x:c r="M19" s="30" t="n">
        <x:v>679.52</x:v>
      </x:c>
    </x:row>
    <x:row r="20">
      <x:c r="A20" s="28" t="str">
        <x:v>2025-12</x:v>
      </x:c>
      <x:c r="B20" s="30" t="n">
        <x:v>23.12</x:v>
      </x:c>
      <x:c r="C20" s="30" t="n">
        <x:v>79.11</x:v>
      </x:c>
      <x:c r="D20" s="30" t="n">
        <x:v>63.54</x:v>
      </x:c>
      <x:c r="E20" s="30" t="n">
        <x:v>85.59</x:v>
      </x:c>
      <x:c r="F20" s="30" t="n">
        <x:v>18.84</x:v>
      </x:c>
      <x:c r="G20" s="30" t="n">
        <x:v>4.26</x:v>
      </x:c>
      <x:c r="H20" s="30" t="n">
        <x:v>69.55</x:v>
      </x:c>
      <x:c r="I20" s="30" t="n">
        <x:v>34.57</x:v>
      </x:c>
      <x:c r="J20" s="30" t="n">
        <x:v>18.97</x:v>
      </x:c>
      <x:c r="K20" s="30" t="n">
        <x:v>121.93</x:v>
      </x:c>
      <x:c r="L20" s="30" t="n">
        <x:v>168.65</x:v>
      </x:c>
      <x:c r="M20" s="30" t="n">
        <x:v>680.06</x:v>
      </x:c>
    </x:row>
    <x:row r="21">
      <x:c r="A21" s="28" t="str">
        <x:v>2026-01</x:v>
      </x:c>
      <x:c r="B21" s="30" t="n">
        <x:v>21</x:v>
      </x:c>
      <x:c r="C21" s="30" t="n">
        <x:v>82.67</x:v>
      </x:c>
      <x:c r="D21" s="30" t="n">
        <x:v>63.19</x:v>
      </x:c>
      <x:c r="E21" s="30" t="n">
        <x:v>97.82</x:v>
      </x:c>
      <x:c r="F21" s="30" t="n">
        <x:v>20.55</x:v>
      </x:c>
      <x:c r="G21" s="30" t="n">
        <x:v>5.69</x:v>
      </x:c>
      <x:c r="H21" s="30" t="n">
        <x:v>88.45</x:v>
      </x:c>
      <x:c r="I21" s="30" t="n">
        <x:v>32.19</x:v>
      </x:c>
      <x:c r="J21" s="30" t="n">
        <x:v>16.52</x:v>
      </x:c>
      <x:c r="K21" s="30" t="n">
        <x:v>124.75</x:v>
      </x:c>
      <x:c r="L21" s="30" t="n">
        <x:v>172.3</x:v>
      </x:c>
      <x:c r="M21" s="30" t="n">
        <x:v>690.08</x:v>
      </x:c>
    </x:row>
    <x:row r="22">
      <x:c r="A22" s="28" t="str">
        <x:v>2026-02</x:v>
      </x:c>
      <x:c r="B22" s="30" t="n">
        <x:v>31.04</x:v>
      </x:c>
      <x:c r="C22" s="30" t="n">
        <x:v>81.15</x:v>
      </x:c>
      <x:c r="D22" s="30" t="n">
        <x:v>62.22</x:v>
      </x:c>
      <x:c r="E22" s="30" t="n">
        <x:v>53.23</x:v>
      </x:c>
      <x:c r="F22" s="30" t="n">
        <x:v>18.76</x:v>
      </x:c>
      <x:c r="G22" s="30" t="n">
        <x:v>5.37</x:v>
      </x:c>
      <x:c r="H22" s="30" t="n">
        <x:v>62.98</x:v>
      </x:c>
      <x:c r="I22" s="30" t="n">
        <x:v>32.2</x:v>
      </x:c>
      <x:c r="J22" s="30" t="n">
        <x:v>15.97</x:v>
      </x:c>
      <x:c r="K22" s="30" t="n">
        <x:v>127.37</x:v>
      </x:c>
      <x:c r="L22" s="30" t="n">
        <x:v>175.24</x:v>
      </x:c>
      <x:c r="M22" s="30" t="n">
        <x:v>684.12</x:v>
      </x:c>
    </x:row>
    <x:row r="23">
      <x:c r="A23" s="28" t="str">
        <x:v>2026-03</x:v>
      </x:c>
      <x:c r="B23" s="30" t="n">
        <x:v>30.87</x:v>
      </x:c>
      <x:c r="C23" s="30" t="n">
        <x:v>75.09</x:v>
      </x:c>
      <x:c r="D23" s="30" t="n">
        <x:v>65.91</x:v>
      </x:c>
      <x:c r="E23" s="30" t="n">
        <x:v>51.68</x:v>
      </x:c>
      <x:c r="F23" s="30" t="n">
        <x:v>17.36</x:v>
      </x:c>
      <x:c r="G23" s="30" t="n">
        <x:v>4.7</x:v>
      </x:c>
      <x:c r="H23" s="30" t="n">
        <x:v>48.2</x:v>
      </x:c>
      <x:c r="I23" s="30" t="n">
        <x:v>33.32</x:v>
      </x:c>
      <x:c r="J23" s="30" t="n">
        <x:v>15.5</x:v>
      </x:c>
      <x:c r="K23" s="30" t="n">
        <x:v>127.73</x:v>
      </x:c>
      <x:c r="L23" s="30" t="n">
        <x:v>168.85</x:v>
      </x:c>
      <x:c r="M23" s="30" t="n">
        <x:v>650.34</x:v>
      </x:c>
    </x:row>
    <x:row r="24">
      <x:c r="A24" s="28" t="str">
        <x:v>2026-04</x:v>
      </x:c>
      <x:c r="B24" s="30" t="n">
        <x:v>34.62</x:v>
      </x:c>
      <x:c r="C24" s="30" t="n">
        <x:v>74.76</x:v>
      </x:c>
      <x:c r="D24" s="30" t="n">
        <x:v>63.97</x:v>
      </x:c>
      <x:c r="E24" s="30" t="n">
        <x:v>54.48</x:v>
      </x:c>
      <x:c r="F24" s="30" t="n">
        <x:v>20.8</x:v>
      </x:c>
      <x:c r="G24" s="30" t="n">
        <x:v>4.22</x:v>
      </x:c>
      <x:c r="H24" s="30" t="n">
        <x:v>41.45</x:v>
      </x:c>
      <x:c r="I24" s="30" t="n">
        <x:v>29.1</x:v>
      </x:c>
      <x:c r="J24" s="30" t="n">
        <x:v>16.7</x:v>
      </x:c>
      <x:c r="K24" s="30" t="n">
        <x:v>131.33</x:v>
      </x:c>
      <x:c r="L24" s="30" t="n">
        <x:v>168.69</x:v>
      </x:c>
      <x:c r="M24" s="30" t="n">
        <x:v>718.66</x:v>
      </x:c>
    </x:row>
    <x:row r="25">
      <x:c r="A25" s="28" t="str">
        <x:v>2026-05</x:v>
      </x:c>
      <x:c r="B25" s="30" t="n">
        <x:v>40.4</x:v>
      </x:c>
      <x:c r="C25" s="30" t="n">
        <x:v>76.5</x:v>
      </x:c>
      <x:c r="D25" s="30" t="n">
        <x:v>76.76</x:v>
      </x:c>
      <x:c r="E25" s="30" t="n">
        <x:v>71.68</x:v>
      </x:c>
      <x:c r="F25" s="30"/>
      <x:c r="G25" s="30" t="n">
        <x:v>3.6</x:v>
      </x:c>
      <x:c r="H25" s="30" t="n">
        <x:v>39.34</x:v>
      </x:c>
      <x:c r="I25" s="30" t="n">
        <x:v>29.47</x:v>
      </x:c>
      <x:c r="J25" s="30" t="n">
        <x:v>17.76</x:v>
      </x:c>
      <x:c r="K25" s="30" t="n">
        <x:v>136.69</x:v>
      </x:c>
      <x:c r="L25" s="30" t="n">
        <x:v>172.18</x:v>
      </x:c>
      <x:c r="M25" s="30" t="n">
        <x:v>756.48</x:v>
      </x:c>
    </x:row>
    <x:row r="26">
      <x:c r="A26" s="28" t="str">
        <x:v>2026-06</x:v>
      </x:c>
      <x:c r="B26" s="30" t="n">
        <x:v>34.34</x:v>
      </x:c>
      <x:c r="C26" s="30" t="n">
        <x:v>73.38</x:v>
      </x:c>
      <x:c r="D26" s="30" t="n">
        <x:v>67.07</x:v>
      </x:c>
      <x:c r="E26" s="30" t="n">
        <x:v>59.66</x:v>
      </x:c>
      <x:c r="F26" s="30" t="n">
        <x:v>23.71</x:v>
      </x:c>
      <x:c r="G26" s="30" t="n">
        <x:v>2.98</x:v>
      </x:c>
      <x:c r="H26" s="30" t="n">
        <x:v>42.63</x:v>
      </x:c>
      <x:c r="I26" s="30" t="n">
        <x:v>30.43</x:v>
      </x:c>
      <x:c r="J26" s="30" t="n">
        <x:v>17.08</x:v>
      </x:c>
      <x:c r="K26" s="30" t="n">
        <x:v>133.79</x:v>
      </x:c>
      <x:c r="L26" s="30" t="n">
        <x:v>172.24</x:v>
      </x:c>
      <x:c r="M26" s="30" t="n">
        <x:v>752</x:v>
      </x:c>
    </x:row>
  </x:sheetData>
  <x:pageMargins left="0.7" right="0.7" top="0.75" bottom="0.75" header="0.3" footer="0.3"/>
  <x:tableParts count="1">
    <x:tablePart xmlns:r="http://schemas.openxmlformats.org/officeDocument/2006/relationships" r:id="Rafff1594e6e0482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.75" hidden="0" customWidth="1"/>
    <x:col min="3" max="3" width="6.5" hidden="0" customWidth="1"/>
    <x:col min="4" max="4" width="6.5" hidden="0" customWidth="1"/>
    <x:col min="5" max="5" width="6.75" hidden="0" customWidth="1"/>
    <x:col min="6" max="6" width="7.130000114440918" hidden="0" customWidth="1"/>
    <x:col min="7" max="7" width="7.130000114440918" hidden="0" customWidth="1"/>
    <x:col min="8" max="8" width="6.880000114440918" hidden="0" customWidth="1"/>
    <x:col min="9" max="9" width="6.25" hidden="0" customWidth="1"/>
    <x:col min="10" max="10" width="6.5" hidden="0" customWidth="1"/>
    <x:col min="11" max="11" width="5.380000114440918" hidden="0" customWidth="1"/>
    <x:col min="12" max="12" width="5.380000114440918" hidden="0" customWidth="1"/>
    <x:col min="13" max="13" width="5.630000114440918" hidden="0" customWidth="1"/>
  </x:cols>
  <x:sheetData>
    <x:row r="1">
      <x:c r="A1" s="42" t="str">
        <x:v>Month</x:v>
      </x:c>
      <x:c r="B1" s="42" t="str">
        <x:v>NBTX</x:v>
      </x:c>
      <x:c r="C1" s="42" t="str">
        <x:v>IONS</x:v>
      </x:c>
      <x:c r="D1" s="42" t="str">
        <x:v>CYTK</x:v>
      </x:c>
      <x:c r="E1" s="42" t="str">
        <x:v>GRAL</x:v>
      </x:c>
      <x:c r="F1" s="42" t="str">
        <x:v>CDNA</x:v>
      </x:c>
      <x:c r="G1" s="42" t="str">
        <x:v>CTMX</x:v>
      </x:c>
      <x:c r="H1" s="42" t="str">
        <x:v>GPCR</x:v>
      </x:c>
      <x:c r="I1" s="42" t="str">
        <x:v>IDYA</x:v>
      </x:c>
      <x:c r="J1" s="42" t="str">
        <x:v>NRIX</x:v>
      </x:c>
      <x:c r="K1" s="42" t="str">
        <x:v>XBI</x:v>
      </x:c>
      <x:c r="L1" s="42" t="str">
        <x:v>IBB</x:v>
      </x:c>
      <x:c r="M1" s="42" t="str">
        <x:v>SPY</x:v>
      </x:c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t="str">
        <x:v>2024-06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  <x:row r="3">
      <x:c r="A3" t="str">
        <x:v>2024-07</x:v>
      </x:c>
      <x:c r="B3" s="16" t="n">
        <x:f>IFERROR(Monthly_Prices!B3/Monthly_Prices!B2-1,"")</x:f>
        <x:v>0.08400000000000007</x:v>
      </x:c>
      <x:c r="C3" s="16" t="n">
        <x:f>IFERROR(Monthly_Prices!C3/Monthly_Prices!C2-1,"")</x:f>
        <x:v>0.03776751993285776</x:v>
      </x:c>
      <x:c r="D3" s="16" t="n">
        <x:f>IFERROR(Monthly_Prices!D3/Monthly_Prices!D2-1,"")</x:f>
        <x:v>0.08914728682170536</x:v>
      </x:c>
      <x:c r="E3" s="16" t="n">
        <x:f>IFERROR(Monthly_Prices!E3/Monthly_Prices!E2-1,"")</x:f>
        <x:v>0.0006506180871830303</x:v>
      </x:c>
      <x:c r="F3" s="16" t="n">
        <x:f>IFERROR(Monthly_Prices!F3/Monthly_Prices!F2-1,"")</x:f>
        <x:v>0.2871860914359303</x:v>
      </x:c>
      <x:c r="G3" s="16" t="n">
        <x:f>IFERROR(Monthly_Prices!G3/Monthly_Prices!G2-1,"")</x:f>
        <x:v>0.13114754098360648</x:v>
      </x:c>
      <x:c r="H3" s="16" t="n">
        <x:f>IFERROR(Monthly_Prices!H3/Monthly_Prices!H2-1,"")</x:f>
        <x:v>-0.047873694932518474</x:v>
      </x:c>
      <x:c r="I3" s="16" t="n">
        <x:f>IFERROR(Monthly_Prices!I3/Monthly_Prices!I2-1,"")</x:f>
        <x:v>0.22614639703788098</x:v>
      </x:c>
      <x:c r="J3" s="16" t="n">
        <x:f>IFERROR(Monthly_Prices!J3/Monthly_Prices!J2-1,"")</x:f>
        <x:v>0.048394825107810124</x:v>
      </x:c>
      <x:c r="K3" s="16" t="n">
        <x:f>IFERROR(Monthly_Prices!K3/Monthly_Prices!K2-1,"")</x:f>
        <x:v>0.06843530048727664</x:v>
      </x:c>
      <x:c r="L3" s="16" t="n">
        <x:f>IFERROR(Monthly_Prices!L3/Monthly_Prices!L2-1,"")</x:f>
        <x:v>0.07798769771529002</x:v>
      </x:c>
      <x:c r="M3" s="16" t="n">
        <x:f>IFERROR(Monthly_Prices!M3/Monthly_Prices!M2-1,"")</x:f>
        <x:v>0.012101313320825646</x:v>
      </x:c>
    </x:row>
    <x:row r="4">
      <x:c r="A4" t="str">
        <x:v>2024-08</x:v>
      </x:c>
      <x:c r="B4" s="16" t="n">
        <x:f>IFERROR(Monthly_Prices!B4/Monthly_Prices!B3-1,"")</x:f>
        <x:v>0.10701107011070121</x:v>
      </x:c>
      <x:c r="C4" s="16" t="n">
        <x:f>IFERROR(Monthly_Prices!C4/Monthly_Prices!C3-1,"")</x:f>
        <x:v>-0.0359886777193692</x:v>
      </x:c>
      <x:c r="D4" s="16" t="n">
        <x:f>IFERROR(Monthly_Prices!D4/Monthly_Prices!D3-1,"")</x:f>
        <x:v>-0.03270632096254866</x:v>
      </x:c>
      <x:c r="E4" s="16" t="n">
        <x:f>IFERROR(Monthly_Prices!E4/Monthly_Prices!E3-1,"")</x:f>
        <x:v>-0.08257477243172962</x:v>
      </x:c>
      <x:c r="F4" s="16" t="n">
        <x:f>IFERROR(Monthly_Prices!F4/Monthly_Prices!F3-1,"")</x:f>
        <x:v>0.5372686343171587</x:v>
      </x:c>
      <x:c r="G4" s="16" t="n">
        <x:f>IFERROR(Monthly_Prices!G4/Monthly_Prices!G3-1,"")</x:f>
        <x:v>-0.14492753623188404</x:v>
      </x:c>
      <x:c r="H4" s="16" t="n">
        <x:f>IFERROR(Monthly_Prices!H4/Monthly_Prices!H3-1,"")</x:f>
        <x:v>0.019791388071676908</x:v>
      </x:c>
      <x:c r="I4" s="16" t="n">
        <x:f>IFERROR(Monthly_Prices!I4/Monthly_Prices!I3-1,"")</x:f>
        <x:v>-0.0824622531939605</x:v>
      </x:c>
      <x:c r="J4" s="16" t="n">
        <x:f>IFERROR(Monthly_Prices!J4/Monthly_Prices!J3-1,"")</x:f>
        <x:v>0.15173674588665453</x:v>
      </x:c>
      <x:c r="K4" s="16" t="n">
        <x:f>IFERROR(Monthly_Prices!K4/Monthly_Prices!K3-1,"")</x:f>
        <x:v>0.022195196108239612</x:v>
      </x:c>
      <x:c r="L4" s="16" t="n">
        <x:f>IFERROR(Monthly_Prices!L4/Monthly_Prices!L3-1,"")</x:f>
        <x:v>0.0013586033557502208</x:v>
      </x:c>
      <x:c r="M4" s="16" t="n">
        <x:f>IFERROR(Monthly_Prices!M4/Monthly_Prices!M3-1,"")</x:f>
        <x:v>0.02337566039484651</x:v>
      </x:c>
    </x:row>
    <x:row r="5">
      <x:c r="A5" t="str">
        <x:v>2024-09</x:v>
      </x:c>
      <x:c r="B5" s="16" t="n">
        <x:f>IFERROR(Monthly_Prices!B5/Monthly_Prices!B4-1,"")</x:f>
        <x:v>-0.04166666666666663</x:v>
      </x:c>
      <x:c r="C5" s="16" t="n">
        <x:f>IFERROR(Monthly_Prices!C5/Monthly_Prices!C4-1,"")</x:f>
        <x:v>-0.15981543624161065</x:v>
      </x:c>
      <x:c r="D5" s="16" t="n">
        <x:f>IFERROR(Monthly_Prices!D5/Monthly_Prices!D4-1,"")</x:f>
        <x:v>-0.07498248072880176</x:v>
      </x:c>
      <x:c r="E5" s="16" t="n">
        <x:f>IFERROR(Monthly_Prices!E5/Monthly_Prices!E4-1,"")</x:f>
        <x:v>-0.024805102763997167</x:v>
      </x:c>
      <x:c r="F5" s="16" t="n">
        <x:f>IFERROR(Monthly_Prices!F5/Monthly_Prices!F4-1,"")</x:f>
        <x:v>0.015945330296127436</x:v>
      </x:c>
      <x:c r="G5" s="16" t="n">
        <x:f>IFERROR(Monthly_Prices!G5/Monthly_Prices!G4-1,"")</x:f>
        <x:v>0</x:v>
      </x:c>
      <x:c r="H5" s="16" t="n">
        <x:f>IFERROR(Monthly_Prices!H5/Monthly_Prices!H4-1,"")</x:f>
        <x:v>0.15106215578284798</x:v>
      </x:c>
      <x:c r="I5" s="16" t="n">
        <x:f>IFERROR(Monthly_Prices!I5/Monthly_Prices!I4-1,"")</x:f>
        <x:v>-0.1979746835443038</x:v>
      </x:c>
      <x:c r="J5" s="16" t="n">
        <x:f>IFERROR(Monthly_Prices!J5/Monthly_Prices!J4-1,"")</x:f>
        <x:v>-0.10833333333333339</x:v>
      </x:c>
      <x:c r="K5" s="16" t="n">
        <x:f>IFERROR(Monthly_Prices!K5/Monthly_Prices!K4-1,"")</x:f>
        <x:v>-0.024092801903628724</x:v>
      </x:c>
      <x:c r="L5" s="16" t="n">
        <x:f>IFERROR(Monthly_Prices!L5/Monthly_Prices!L4-1,"")</x:f>
        <x:v>-0.015941930669561066</x:v>
      </x:c>
      <x:c r="M5" s="16" t="n">
        <x:f>IFERROR(Monthly_Prices!M5/Monthly_Prices!M4-1,"")</x:f>
        <x:v>0.020994094844763334</x:v>
      </x:c>
    </x:row>
    <x:row r="6">
      <x:c r="A6" t="str">
        <x:v>2024-10</x:v>
      </x:c>
      <x:c r="B6" s="16" t="n">
        <x:f>IFERROR(Monthly_Prices!B6/Monthly_Prices!B5-1,"")</x:f>
        <x:v>-0.27652173913043476</x:v>
      </x:c>
      <x:c r="C6" s="16" t="n">
        <x:f>IFERROR(Monthly_Prices!C6/Monthly_Prices!C5-1,"")</x:f>
        <x:v>-0.04168746879680485</x:v>
      </x:c>
      <x:c r="D6" s="16" t="n">
        <x:f>IFERROR(Monthly_Prices!D6/Monthly_Prices!D5-1,"")</x:f>
        <x:v>-0.03409090909090906</x:v>
      </x:c>
      <x:c r="E6" s="16" t="n">
        <x:f>IFERROR(Monthly_Prices!E6/Monthly_Prices!E5-1,"")</x:f>
        <x:v>-0.01380813953488369</x:v>
      </x:c>
      <x:c r="F6" s="16" t="n">
        <x:f>IFERROR(Monthly_Prices!F6/Monthly_Prices!F5-1,"")</x:f>
        <x:v>-0.29115951313260735</x:v>
      </x:c>
      <x:c r="G6" s="16" t="n">
        <x:f>IFERROR(Monthly_Prices!G6/Monthly_Prices!G5-1,"")</x:f>
        <x:v>-0.15254237288135586</x:v>
      </x:c>
      <x:c r="H6" s="16" t="n">
        <x:f>IFERROR(Monthly_Prices!H6/Monthly_Prices!H5-1,"")</x:f>
        <x:v>-0.06242879927090461</x:v>
      </x:c>
      <x:c r="I6" s="16" t="n">
        <x:f>IFERROR(Monthly_Prices!I6/Monthly_Prices!I5-1,"")</x:f>
        <x:v>-0.11142676767676774</x:v>
      </x:c>
      <x:c r="J6" s="16" t="n">
        <x:f>IFERROR(Monthly_Prices!J6/Monthly_Prices!J5-1,"")</x:f>
        <x:v>0.09390298175344913</x:v>
      </x:c>
      <x:c r="K6" s="16" t="n">
        <x:f>IFERROR(Monthly_Prices!K6/Monthly_Prices!K5-1,"")</x:f>
        <x:v>-0.017880727420501952</x:v>
      </x:c>
      <x:c r="L6" s="16" t="n">
        <x:f>IFERROR(Monthly_Prices!L6/Monthly_Prices!L5-1,"")</x:f>
        <x:v>-0.03646766855094441</x:v>
      </x:c>
      <x:c r="M6" s="16" t="n">
        <x:f>IFERROR(Monthly_Prices!M6/Monthly_Prices!M5-1,"")</x:f>
        <x:v>-0.008923977645702075</x:v>
      </x:c>
    </x:row>
    <x:row r="7">
      <x:c r="A7" t="str">
        <x:v>2024-11</x:v>
      </x:c>
      <x:c r="B7" s="16" t="n">
        <x:f>IFERROR(Monthly_Prices!B7/Monthly_Prices!B6-1,"")</x:f>
        <x:v>-0.2235576923076923</x:v>
      </x:c>
      <x:c r="C7" s="16" t="n">
        <x:f>IFERROR(Monthly_Prices!C7/Monthly_Prices!C6-1,"")</x:f>
        <x:v>-0.0692888773118</x:v>
      </x:c>
      <x:c r="D7" s="16" t="n">
        <x:f>IFERROR(Monthly_Prices!D7/Monthly_Prices!D6-1,"")</x:f>
        <x:v>0.0168627450980392</x:v>
      </x:c>
      <x:c r="E7" s="16" t="n">
        <x:f>IFERROR(Monthly_Prices!E7/Monthly_Prices!E6-1,"")</x:f>
        <x:v>0.2896094325718497</x:v>
      </x:c>
      <x:c r="F7" s="16" t="n">
        <x:f>IFERROR(Monthly_Prices!F7/Monthly_Prices!F6-1,"")</x:f>
        <x:v>0.10890194306371437</x:v>
      </x:c>
      <x:c r="G7" s="16" t="n">
        <x:f>IFERROR(Monthly_Prices!G7/Monthly_Prices!G6-1,"")</x:f>
        <x:v>0.06000000000000005</x:v>
      </x:c>
      <x:c r="H7" s="16" t="n">
        <x:f>IFERROR(Monthly_Prices!H7/Monthly_Prices!H6-1,"")</x:f>
        <x:v>-0.1944106925880924</x:v>
      </x:c>
      <x:c r="I7" s="16" t="n">
        <x:f>IFERROR(Monthly_Prices!I7/Monthly_Prices!I6-1,"")</x:f>
        <x:v>-0.028063943161634075</x:v>
      </x:c>
      <x:c r="J7" s="16" t="n">
        <x:f>IFERROR(Monthly_Prices!J7/Monthly_Prices!J6-1,"")</x:f>
        <x:v>-0.10048820179007323</x:v>
      </x:c>
      <x:c r="K7" s="16" t="n">
        <x:f>IFERROR(Monthly_Prices!K7/Monthly_Prices!K6-1,"")</x:f>
        <x:v>0.02668873487121126</x:v>
      </x:c>
      <x:c r="L7" s="16" t="n">
        <x:f>IFERROR(Monthly_Prices!L7/Monthly_Prices!L6-1,"")</x:f>
        <x:v>0.008943263933605117</x:v>
      </x:c>
      <x:c r="M7" s="16" t="n">
        <x:f>IFERROR(Monthly_Prices!M7/Monthly_Prices!M6-1,"")</x:f>
        <x:v>0.05962908596183447</x:v>
      </x:c>
    </x:row>
    <x:row r="8">
      <x:c r="A8" t="str">
        <x:v>2024-12</x:v>
      </x:c>
      <x:c r="B8" s="16" t="n">
        <x:f>IFERROR(Monthly_Prices!B8/Monthly_Prices!B7-1,"")</x:f>
        <x:v>-0.11145510835913308</x:v>
      </x:c>
      <x:c r="C8" s="16" t="n">
        <x:f>IFERROR(Monthly_Prices!C8/Monthly_Prices!C7-1,"")</x:f>
        <x:v>-0.02155051777218009</x:v>
      </x:c>
      <x:c r="D8" s="16" t="n">
        <x:f>IFERROR(Monthly_Prices!D8/Monthly_Prices!D7-1,"")</x:f>
        <x:v>-0.09294253760123405</x:v>
      </x:c>
      <x:c r="E8" s="16" t="n">
        <x:f>IFERROR(Monthly_Prices!E8/Monthly_Prices!E7-1,"")</x:f>
        <x:v>0.020000000000000018</x:v>
      </x:c>
      <x:c r="F8" s="16" t="n">
        <x:f>IFERROR(Monthly_Prices!F8/Monthly_Prices!F7-1,"")</x:f>
        <x:v>-0.12754686226568868</x:v>
      </x:c>
      <x:c r="G8" s="16" t="n">
        <x:f>IFERROR(Monthly_Prices!G8/Monthly_Prices!G7-1,"")</x:f>
        <x:v>-0.028301886792452824</x:v>
      </x:c>
      <x:c r="H8" s="16" t="n">
        <x:f>IFERROR(Monthly_Prices!H8/Monthly_Prices!H7-1,"")</x:f>
        <x:v>-0.1819004524886877</x:v>
      </x:c>
      <x:c r="I8" s="16" t="n">
        <x:f>IFERROR(Monthly_Prices!I8/Monthly_Prices!I7-1,"")</x:f>
        <x:v>-0.0606725146198831</x:v>
      </x:c>
      <x:c r="J8" s="16" t="n">
        <x:f>IFERROR(Monthly_Prices!J8/Monthly_Prices!J7-1,"")</x:f>
        <x:v>-0.14789687924016282</x:v>
      </x:c>
      <x:c r="K8" s="16" t="n">
        <x:f>IFERROR(Monthly_Prices!K8/Monthly_Prices!K7-1,"")</x:f>
        <x:v>-0.09602015113350126</x:v>
      </x:c>
      <x:c r="L8" s="16" t="n">
        <x:f>IFERROR(Monthly_Prices!L8/Monthly_Prices!L7-1,"")</x:f>
        <x:v>-0.06552262090483629</x:v>
      </x:c>
      <x:c r="M8" s="16" t="n">
        <x:f>IFERROR(Monthly_Prices!M8/Monthly_Prices!M7-1,"")</x:f>
        <x:v>-0.024056898619769007</x:v>
      </x:c>
    </x:row>
    <x:row r="9">
      <x:c r="A9" t="str">
        <x:v>2025-01</x:v>
      </x:c>
      <x:c r="B9" s="16" t="n">
        <x:f>IFERROR(Monthly_Prices!B9/Monthly_Prices!B8-1,"")</x:f>
        <x:v>0.21254355400696867</x:v>
      </x:c>
      <x:c r="C9" s="16" t="n">
        <x:f>IFERROR(Monthly_Prices!C9/Monthly_Prices!C8-1,"")</x:f>
        <x:v>-0.08752860411899321</x:v>
      </x:c>
      <x:c r="D9" s="16" t="n">
        <x:f>IFERROR(Monthly_Prices!D9/Monthly_Prices!D8-1,"")</x:f>
        <x:v>0.05144557823129259</x:v>
      </x:c>
      <x:c r="E9" s="16" t="n">
        <x:f>IFERROR(Monthly_Prices!E9/Monthly_Prices!E8-1,"")</x:f>
        <x:v>0.6963585434173669</x:v>
      </x:c>
      <x:c r="F9" s="16" t="n">
        <x:f>IFERROR(Monthly_Prices!F9/Monthly_Prices!F8-1,"")</x:f>
        <x:v>0.08827650630546469</x:v>
      </x:c>
      <x:c r="G9" s="16" t="n">
        <x:f>IFERROR(Monthly_Prices!G9/Monthly_Prices!G8-1,"")</x:f>
        <x:v>-0.1747572815533981</x:v>
      </x:c>
      <x:c r="H9" s="16" t="n">
        <x:f>IFERROR(Monthly_Prices!H9/Monthly_Prices!H8-1,"")</x:f>
        <x:v>0.10508849557522115</x:v>
      </x:c>
      <x:c r="I9" s="16" t="n">
        <x:f>IFERROR(Monthly_Prices!I9/Monthly_Prices!I8-1,"")</x:f>
        <x:v>-0.052529182879377356</x:v>
      </x:c>
      <x:c r="J9" s="16" t="n">
        <x:f>IFERROR(Monthly_Prices!J9/Monthly_Prices!J8-1,"")</x:f>
        <x:v>0.04617834394904463</x:v>
      </x:c>
      <x:c r="K9" s="16" t="n">
        <x:f>IFERROR(Monthly_Prices!K9/Monthly_Prices!K8-1,"")</x:f>
        <x:v>0.028979045920642044</x:v>
      </x:c>
      <x:c r="L9" s="16" t="n">
        <x:f>IFERROR(Monthly_Prices!L9/Monthly_Prices!L8-1,"")</x:f>
        <x:v>0.04871755956897861</x:v>
      </x:c>
      <x:c r="M9" s="16" t="n">
        <x:f>IFERROR(Monthly_Prices!M9/Monthly_Prices!M8-1,"")</x:f>
        <x:v>0.026848309647042434</x:v>
      </x:c>
    </x:row>
    <x:row r="10">
      <x:c r="A10" t="str">
        <x:v>2025-02</x:v>
      </x:c>
      <x:c r="B10" s="16" t="n">
        <x:f>IFERROR(Monthly_Prices!B10/Monthly_Prices!B9-1,"")</x:f>
        <x:v>0.008620689655172376</x:v>
      </x:c>
      <x:c r="C10" s="16" t="n">
        <x:f>IFERROR(Monthly_Prices!C10/Monthly_Prices!C9-1,"")</x:f>
        <x:v>0.04043887147335412</x:v>
      </x:c>
      <x:c r="D10" s="16" t="n">
        <x:f>IFERROR(Monthly_Prices!D10/Monthly_Prices!D9-1,"")</x:f>
        <x:v>-0.06995551961180757</x:v>
      </x:c>
      <x:c r="E10" s="16" t="n">
        <x:f>IFERROR(Monthly_Prices!E10/Monthly_Prices!E9-1,"")</x:f>
        <x:v>0.27344782034346116</x:v>
      </x:c>
      <x:c r="F10" s="16" t="n">
        <x:f>IFERROR(Monthly_Prices!F10/Monthly_Prices!F9-1,"")</x:f>
        <x:v>-0.049356223175965774</x:v>
      </x:c>
      <x:c r="G10" s="16" t="n">
        <x:f>IFERROR(Monthly_Prices!G10/Monthly_Prices!G9-1,"")</x:f>
        <x:v>-0.19999999999999996</x:v>
      </x:c>
      <x:c r="H10" s="16" t="n">
        <x:f>IFERROR(Monthly_Prices!H10/Monthly_Prices!H9-1,"")</x:f>
        <x:v>-0.20754087420754086</x:v>
      </x:c>
      <x:c r="I10" s="16" t="n">
        <x:f>IFERROR(Monthly_Prices!I10/Monthly_Prices!I9-1,"")</x:f>
        <x:v>-0.15523613963039018</x:v>
      </x:c>
      <x:c r="J10" s="16" t="n">
        <x:f>IFERROR(Monthly_Prices!J10/Monthly_Prices!J9-1,"")</x:f>
        <x:v>-0.21613394216133952</x:v>
      </x:c>
      <x:c r="K10" s="16" t="n">
        <x:f>IFERROR(Monthly_Prices!K10/Monthly_Prices!K9-1,"")</x:f>
        <x:v>-0.042677642980935904</x:v>
      </x:c>
      <x:c r="L10" s="16" t="n">
        <x:f>IFERROR(Monthly_Prices!L10/Monthly_Prices!L9-1,"")</x:f>
        <x:v>-0.01172214182344411</x:v>
      </x:c>
      <x:c r="M10" s="16" t="n">
        <x:f>IFERROR(Monthly_Prices!M10/Monthly_Prices!M9-1,"")</x:f>
        <x:v>-0.01267700606877964</x:v>
      </x:c>
    </x:row>
    <x:row r="11">
      <x:c r="A11" t="str">
        <x:v>2025-03</x:v>
      </x:c>
      <x:c r="B11" s="16" t="n">
        <x:f>IFERROR(Monthly_Prices!B11/Monthly_Prices!B10-1,"")</x:f>
        <x:v>0.019943019943019946</x:v>
      </x:c>
      <x:c r="C11" s="16" t="n">
        <x:f>IFERROR(Monthly_Prices!C11/Monthly_Prices!C10-1,"")</x:f>
        <x:v>-0.09099126242844224</x:v>
      </x:c>
      <x:c r="D11" s="16" t="n">
        <x:f>IFERROR(Monthly_Prices!D11/Monthly_Prices!D10-1,"")</x:f>
        <x:v>-0.12630434782608702</x:v>
      </x:c>
      <x:c r="E11" s="16" t="n">
        <x:f>IFERROR(Monthly_Prices!E11/Monthly_Prices!E10-1,"")</x:f>
        <x:v>-0.33765560165975106</x:v>
      </x:c>
      <x:c r="F11" s="16" t="n">
        <x:f>IFERROR(Monthly_Prices!F11/Monthly_Prices!F10-1,"")</x:f>
        <x:v>-0.19864559819413086</x:v>
      </x:c>
      <x:c r="G11" s="16" t="n">
        <x:f>IFERROR(Monthly_Prices!G11/Monthly_Prices!G10-1,"")</x:f>
        <x:v>-0.05882352941176472</x:v>
      </x:c>
      <x:c r="H11" s="16" t="n">
        <x:f>IFERROR(Monthly_Prices!H11/Monthly_Prices!H10-1,"")</x:f>
        <x:v>-0.27115789473684215</x:v>
      </x:c>
      <x:c r="I11" s="16" t="n">
        <x:f>IFERROR(Monthly_Prices!I11/Monthly_Prices!I10-1,"")</x:f>
        <x:v>-0.20369470102090426</x:v>
      </x:c>
      <x:c r="J11" s="16" t="n">
        <x:f>IFERROR(Monthly_Prices!J11/Monthly_Prices!J10-1,"")</x:f>
        <x:v>-0.23106796116504846</x:v>
      </x:c>
      <x:c r="K11" s="16" t="n">
        <x:f>IFERROR(Monthly_Prices!K11/Monthly_Prices!K10-1,"")</x:f>
        <x:v>-0.08576601040959486</x:v>
      </x:c>
      <x:c r="L11" s="16" t="n">
        <x:f>IFERROR(Monthly_Prices!L11/Monthly_Prices!L10-1,"")</x:f>
        <x:v>-0.06582222873041443</x:v>
      </x:c>
      <x:c r="M11" s="16" t="n">
        <x:f>IFERROR(Monthly_Prices!M11/Monthly_Prices!M10-1,"")</x:f>
        <x:v>-0.05573009151755226</x:v>
      </x:c>
    </x:row>
    <x:row r="12">
      <x:c r="A12" t="str">
        <x:v>2025-04</x:v>
      </x:c>
      <x:c r="B12" s="16" t="n">
        <x:f>IFERROR(Monthly_Prices!B12/Monthly_Prices!B11-1,"")</x:f>
        <x:v>-0.05307262569832405</x:v>
      </x:c>
      <x:c r="C12" s="16" t="n">
        <x:f>IFERROR(Monthly_Prices!C12/Monthly_Prices!C11-1,"")</x:f>
        <x:v>0.017898574743122175</x:v>
      </x:c>
      <x:c r="D12" s="16" t="n">
        <x:f>IFERROR(Monthly_Prices!D12/Monthly_Prices!D11-1,"")</x:f>
        <x:v>0.06593680019905457</x:v>
      </x:c>
      <x:c r="E12" s="16" t="n">
        <x:f>IFERROR(Monthly_Prices!E12/Monthly_Prices!E11-1,"")</x:f>
        <x:v>0.3508222396241192</x:v>
      </x:c>
      <x:c r="F12" s="16" t="n">
        <x:f>IFERROR(Monthly_Prices!F12/Monthly_Prices!F11-1,"")</x:f>
        <x:v>-0.049014084507042255</x:v>
      </x:c>
      <x:c r="G12" s="16" t="n">
        <x:f>IFERROR(Monthly_Prices!G12/Monthly_Prices!G11-1,"")</x:f>
        <x:v>0.15625</x:v>
      </x:c>
      <x:c r="H12" s="16" t="n">
        <x:f>IFERROR(Monthly_Prices!H12/Monthly_Prices!H11-1,"")</x:f>
        <x:v>0.5597920277296362</x:v>
      </x:c>
      <x:c r="I12" s="16" t="n">
        <x:f>IFERROR(Monthly_Prices!I12/Monthly_Prices!I11-1,"")</x:f>
        <x:v>0.228937728937729</x:v>
      </x:c>
      <x:c r="J12" s="16" t="n">
        <x:f>IFERROR(Monthly_Prices!J12/Monthly_Prices!J11-1,"")</x:f>
        <x:v>-0.029461279461279632</x:v>
      </x:c>
      <x:c r="K12" s="16" t="n">
        <x:f>IFERROR(Monthly_Prices!K12/Monthly_Prices!K11-1,"")</x:f>
        <x:v>0.022896039603960583</x:v>
      </x:c>
      <x:c r="L12" s="16" t="n">
        <x:f>IFERROR(Monthly_Prices!L12/Monthly_Prices!L11-1,"")</x:f>
        <x:v>-0.010267262324633597</x:v>
      </x:c>
      <x:c r="M12" s="16" t="n">
        <x:f>IFERROR(Monthly_Prices!M12/Monthly_Prices!M11-1,"")</x:f>
        <x:v>-0.008661217995081683</x:v>
      </x:c>
    </x:row>
    <x:row r="13">
      <x:c r="A13" t="str">
        <x:v>2025-05</x:v>
      </x:c>
      <x:c r="B13" s="16" t="n">
        <x:f>IFERROR(Monthly_Prices!B13/Monthly_Prices!B12-1,"")</x:f>
        <x:v>0.20943952802359878</x:v>
      </x:c>
      <x:c r="C13" s="16" t="n">
        <x:f>IFERROR(Monthly_Prices!C13/Monthly_Prices!C12-1,"")</x:f>
        <x:v>0.09117551286225978</x:v>
      </x:c>
      <x:c r="D13" s="16" t="n">
        <x:f>IFERROR(Monthly_Prices!D13/Monthly_Prices!D12-1,"")</x:f>
        <x:v>-0.2759103641456583</x:v>
      </x:c>
      <x:c r="E13" s="16" t="n">
        <x:f>IFERROR(Monthly_Prices!E13/Monthly_Prices!E12-1,"")</x:f>
        <x:v>0.11333333333333329</x:v>
      </x:c>
      <x:c r="F13" s="16" t="n">
        <x:f>IFERROR(Monthly_Prices!F13/Monthly_Prices!F12-1,"")</x:f>
        <x:v>0.006516587677725116</x:v>
      </x:c>
      <x:c r="G13" s="16" t="n">
        <x:f>IFERROR(Monthly_Prices!G13/Monthly_Prices!G12-1,"")</x:f>
        <x:v>2.581081081081081</x:v>
      </x:c>
      <x:c r="H13" s="16" t="n">
        <x:f>IFERROR(Monthly_Prices!H13/Monthly_Prices!H12-1,"")</x:f>
        <x:v>-0.19407407407407407</x:v>
      </x:c>
      <x:c r="I13" s="16" t="n">
        <x:f>IFERROR(Monthly_Prices!I13/Monthly_Prices!I12-1,"")</x:f>
        <x:v>-0.011922503725782296</x:v>
      </x:c>
      <x:c r="J13" s="16" t="n">
        <x:f>IFERROR(Monthly_Prices!J13/Monthly_Prices!J12-1,"")</x:f>
        <x:v>-0.07805724197745001</x:v>
      </x:c>
      <x:c r="K13" s="16" t="n">
        <x:f>IFERROR(Monthly_Prices!K13/Monthly_Prices!K12-1,"")</x:f>
        <x:v>-0.04537205081669693</x:v>
      </x:c>
      <x:c r="L13" s="16" t="n">
        <x:f>IFERROR(Monthly_Prices!L13/Monthly_Prices!L12-1,"")</x:f>
        <x:v>-0.03840671523598349</x:v>
      </x:c>
      <x:c r="M13" s="16" t="n">
        <x:f>IFERROR(Monthly_Prices!M13/Monthly_Prices!M12-1,"")</x:f>
        <x:v>0.0628362973096217</x:v>
      </x:c>
    </x:row>
    <x:row r="14">
      <x:c r="A14" t="str">
        <x:v>2025-06</x:v>
      </x:c>
      <x:c r="B14" s="16" t="n">
        <x:f>IFERROR(Monthly_Prices!B14/Monthly_Prices!B13-1,"")</x:f>
        <x:v>0.153658536585366</x:v>
      </x:c>
      <x:c r="C14" s="16" t="n">
        <x:f>IFERROR(Monthly_Prices!C14/Monthly_Prices!C13-1,"")</x:f>
        <x:v>0.17905102954341978</x:v>
      </x:c>
      <x:c r="D14" s="16" t="n">
        <x:f>IFERROR(Monthly_Prices!D14/Monthly_Prices!D13-1,"")</x:f>
        <x:v>0.06511927788523542</x:v>
      </x:c>
      <x:c r="E14" s="16" t="n">
        <x:f>IFERROR(Monthly_Prices!E14/Monthly_Prices!E13-1,"")</x:f>
        <x:v>0.3387138765946369</x:v>
      </x:c>
      <x:c r="F14" s="16" t="n">
        <x:f>IFERROR(Monthly_Prices!F14/Monthly_Prices!F13-1,"")</x:f>
        <x:v>0.15008828722778111</x:v>
      </x:c>
      <x:c r="G14" s="16" t="n">
        <x:f>IFERROR(Monthly_Prices!G14/Monthly_Prices!G13-1,"")</x:f>
        <x:v>-0.1433962264150943</x:v>
      </x:c>
      <x:c r="H14" s="16" t="n">
        <x:f>IFERROR(Monthly_Prices!H14/Monthly_Prices!H13-1,"")</x:f>
        <x:v>-0.04687500000000011</x:v>
      </x:c>
      <x:c r="I14" s="16" t="n">
        <x:f>IFERROR(Monthly_Prices!I14/Monthly_Prices!I13-1,"")</x:f>
        <x:v>0.05681246857717448</x:v>
      </x:c>
      <x:c r="J14" s="16" t="n">
        <x:f>IFERROR(Monthly_Prices!J14/Monthly_Prices!J13-1,"")</x:f>
        <x:v>0.07149576669802449</x:v>
      </x:c>
      <x:c r="K14" s="16" t="n">
        <x:f>IFERROR(Monthly_Prices!K14/Monthly_Prices!K13-1,"")</x:f>
        <x:v>0.04727503168567804</x:v>
      </x:c>
      <x:c r="L14" s="16" t="n">
        <x:f>IFERROR(Monthly_Prices!L14/Monthly_Prices!L13-1,"")</x:f>
        <x:v>0.03936424277361428</x:v>
      </x:c>
      <x:c r="M14" s="16" t="n">
        <x:f>IFERROR(Monthly_Prices!M14/Monthly_Prices!M13-1,"")</x:f>
        <x:v>0.051398661403809776</x:v>
      </x:c>
    </x:row>
    <x:row r="15">
      <x:c r="A15" t="str">
        <x:v>2025-07</x:v>
      </x:c>
      <x:c r="B15" s="16" t="n">
        <x:f>IFERROR(Monthly_Prices!B15/Monthly_Prices!B14-1,"")</x:f>
        <x:v>0.45877378435517957</x:v>
      </x:c>
      <x:c r="C15" s="16" t="n">
        <x:f>IFERROR(Monthly_Prices!C15/Monthly_Prices!C14-1,"")</x:f>
        <x:v>0.08782586686914695</x:v>
      </x:c>
      <x:c r="D15" s="16" t="n">
        <x:f>IFERROR(Monthly_Prices!D15/Monthly_Prices!D14-1,"")</x:f>
        <x:v>0.13922518159806296</x:v>
      </x:c>
      <x:c r="E15" s="16" t="n">
        <x:f>IFERROR(Monthly_Prices!E15/Monthly_Prices!E14-1,"")</x:f>
        <x:v>-0.33469467133411124</x:v>
      </x:c>
      <x:c r="F15" s="16" t="n">
        <x:f>IFERROR(Monthly_Prices!F15/Monthly_Prices!F14-1,"")</x:f>
        <x:v>-0.3715455475946776</x:v>
      </x:c>
      <x:c r="G15" s="16" t="n">
        <x:f>IFERROR(Monthly_Prices!G15/Monthly_Prices!G14-1,"")</x:f>
        <x:v>-0.03524229074889873</x:v>
      </x:c>
      <x:c r="H15" s="16" t="n">
        <x:f>IFERROR(Monthly_Prices!H15/Monthly_Prices!H14-1,"")</x:f>
        <x:v>-0.14175506268080995</x:v>
      </x:c>
      <x:c r="I15" s="16" t="n">
        <x:f>IFERROR(Monthly_Prices!I15/Monthly_Prices!I14-1,"")</x:f>
        <x:v>0.15842055185537585</x:v>
      </x:c>
      <x:c r="J15" s="16" t="n">
        <x:f>IFERROR(Monthly_Prices!J15/Monthly_Prices!J14-1,"")</x:f>
        <x:v>-0.011413520632133523</x:v>
      </x:c>
      <x:c r="K15" s="16" t="n">
        <x:f>IFERROR(Monthly_Prices!K15/Monthly_Prices!K14-1,"")</x:f>
        <x:v>0.03291782645528252</x:v>
      </x:c>
      <x:c r="L15" s="16" t="n">
        <x:f>IFERROR(Monthly_Prices!L15/Monthly_Prices!L14-1,"")</x:f>
        <x:v>0.04936217415418742</x:v>
      </x:c>
      <x:c r="M15" s="16" t="n">
        <x:f>IFERROR(Monthly_Prices!M15/Monthly_Prices!M14-1,"")</x:f>
        <x:v>0.023031094425854937</x:v>
      </x:c>
    </x:row>
    <x:row r="16">
      <x:c r="A16" t="str">
        <x:v>2025-08</x:v>
      </x:c>
      <x:c r="B16" s="16" t="n">
        <x:f>IFERROR(Monthly_Prices!B16/Monthly_Prices!B15-1,"")</x:f>
        <x:v>0.2956521739130433</x:v>
      </x:c>
      <x:c r="C16" s="16" t="n">
        <x:f>IFERROR(Monthly_Prices!C16/Monthly_Prices!C15-1,"")</x:f>
        <x:v>-0.007910656119125115</x:v>
      </x:c>
      <x:c r="D16" s="16" t="n">
        <x:f>IFERROR(Monthly_Prices!D16/Monthly_Prices!D15-1,"")</x:f>
        <x:v>-0.06137088204038266</x:v>
      </x:c>
      <x:c r="E16" s="16" t="n">
        <x:f>IFERROR(Monthly_Prices!E16/Monthly_Prices!E15-1,"")</x:f>
        <x:v>-0.04150833089739847</x:v>
      </x:c>
      <x:c r="F16" s="16" t="n">
        <x:f>IFERROR(Monthly_Prices!F16/Monthly_Prices!F15-1,"")</x:f>
        <x:v>0.1123778501628665</x:v>
      </x:c>
      <x:c r="G16" s="16" t="n">
        <x:f>IFERROR(Monthly_Prices!G16/Monthly_Prices!G15-1,"")</x:f>
        <x:v>-0.06849315068493145</x:v>
      </x:c>
      <x:c r="H16" s="16" t="n">
        <x:f>IFERROR(Monthly_Prices!H16/Monthly_Prices!H15-1,"")</x:f>
        <x:v>0.08426966292134841</x:v>
      </x:c>
      <x:c r="I16" s="16" t="n">
        <x:f>IFERROR(Monthly_Prices!I16/Monthly_Prices!I15-1,"")</x:f>
        <x:v>0.008213552361396204</x:v>
      </x:c>
      <x:c r="J16" s="16" t="n">
        <x:f>IFERROR(Monthly_Prices!J16/Monthly_Prices!J15-1,"")</x:f>
        <x:v>-0.17051509769094142</x:v>
      </x:c>
      <x:c r="K16" s="16" t="n">
        <x:f>IFERROR(Monthly_Prices!K16/Monthly_Prices!K15-1,"")</x:f>
        <x:v>0.04897480960749867</x:v>
      </x:c>
      <x:c r="L16" s="16" t="n">
        <x:f>IFERROR(Monthly_Prices!L16/Monthly_Prices!L15-1,"")</x:f>
        <x:v>0.041150709755360726</x:v>
      </x:c>
      <x:c r="M16" s="16" t="n">
        <x:f>IFERROR(Monthly_Prices!M16/Monthly_Prices!M15-1,"")</x:f>
        <x:v>0.020518220690535438</x:v>
      </x:c>
    </x:row>
    <x:row r="17">
      <x:c r="A17" t="str">
        <x:v>2025-09</x:v>
      </x:c>
      <x:c r="B17" s="16" t="n">
        <x:f>IFERROR(Monthly_Prices!B17/Monthly_Prices!B16-1,"")</x:f>
        <x:v>1.1129753914988818</x:v>
      </x:c>
      <x:c r="C17" s="16" t="n">
        <x:f>IFERROR(Monthly_Prices!C17/Monthly_Prices!C16-1,"")</x:f>
        <x:v>0.5342401500938085</x:v>
      </x:c>
      <x:c r="D17" s="16" t="n">
        <x:f>IFERROR(Monthly_Prices!D17/Monthly_Prices!D16-1,"")</x:f>
        <x:v>0.555618454571186</x:v>
      </x:c>
      <x:c r="E17" s="16" t="n">
        <x:f>IFERROR(Monthly_Prices!E17/Monthly_Prices!E16-1,"")</x:f>
        <x:v>0.8032936870997256</x:v>
      </x:c>
      <x:c r="F17" s="16" t="n">
        <x:f>IFERROR(Monthly_Prices!F17/Monthly_Prices!F16-1,"")</x:f>
        <x:v>0.0644216691068813</x:v>
      </x:c>
      <x:c r="G17" s="16" t="n">
        <x:f>IFERROR(Monthly_Prices!G17/Monthly_Prices!G16-1,"")</x:f>
        <x:v>0.5637254901960784</x:v>
      </x:c>
      <x:c r="H17" s="16" t="n">
        <x:f>IFERROR(Monthly_Prices!H17/Monthly_Prices!H16-1,"")</x:f>
        <x:v>0.4507772020725389</x:v>
      </x:c>
      <x:c r="I17" s="16" t="n">
        <x:f>IFERROR(Monthly_Prices!I17/Monthly_Prices!I16-1,"")</x:f>
        <x:v>0.10835030549898161</x:v>
      </x:c>
      <x:c r="J17" s="16" t="n">
        <x:f>IFERROR(Monthly_Prices!J17/Monthly_Prices!J16-1,"")</x:f>
        <x:v>-0.010706638115631661</x:v>
      </x:c>
      <x:c r="K17" s="16" t="n">
        <x:f>IFERROR(Monthly_Prices!K17/Monthly_Prices!K16-1,"")</x:f>
        <x:v>0.1154920138501061</x:v>
      </x:c>
      <x:c r="L17" s="16" t="n">
        <x:f>IFERROR(Monthly_Prices!L17/Monthly_Prices!L16-1,"")</x:f>
        <x:v>0.04510841975487723</x:v>
      </x:c>
      <x:c r="M17" s="16" t="n">
        <x:f>IFERROR(Monthly_Prices!M17/Monthly_Prices!M16-1,"")</x:f>
        <x:v>0.035630530627560164</x:v>
      </x:c>
    </x:row>
    <x:row r="18">
      <x:c r="A18" t="str">
        <x:v>2025-10</x:v>
      </x:c>
      <x:c r="B18" s="16" t="n">
        <x:f>IFERROR(Monthly_Prices!B18/Monthly_Prices!B17-1,"")</x:f>
        <x:v>0.10481736368448913</x:v>
      </x:c>
      <x:c r="C18" s="16" t="n">
        <x:f>IFERROR(Monthly_Prices!C18/Monthly_Prices!C17-1,"")</x:f>
        <x:v>0.13573830632833994</x:v>
      </x:c>
      <x:c r="D18" s="16" t="n">
        <x:f>IFERROR(Monthly_Prices!D18/Monthly_Prices!D17-1,"")</x:f>
        <x:v>0.15702328966521106</x:v>
      </x:c>
      <x:c r="E18" s="16" t="n">
        <x:f>IFERROR(Monthly_Prices!E18/Monthly_Prices!E17-1,"")</x:f>
        <x:v>0.5547099611026551</x:v>
      </x:c>
      <x:c r="F18" s="16" t="n">
        <x:f>IFERROR(Monthly_Prices!F18/Monthly_Prices!F17-1,"")</x:f>
        <x:v>0.031636863823933936</x:v>
      </x:c>
      <x:c r="G18" s="16" t="n">
        <x:f>IFERROR(Monthly_Prices!G18/Monthly_Prices!G17-1,"")</x:f>
        <x:v>0.11912225705329149</x:v>
      </x:c>
      <x:c r="H18" s="16" t="n">
        <x:f>IFERROR(Monthly_Prices!H18/Monthly_Prices!H17-1,"")</x:f>
        <x:v>0.18999999999999995</x:v>
      </x:c>
      <x:c r="I18" s="16" t="n">
        <x:f>IFERROR(Monthly_Prices!I18/Monthly_Prices!I17-1,"")</x:f>
        <x:v>0.1708930540242557</x:v>
      </x:c>
      <x:c r="J18" s="16" t="n">
        <x:f>IFERROR(Monthly_Prices!J18/Monthly_Prices!J17-1,"")</x:f>
        <x:v>0.40043290043290036</x:v>
      </x:c>
      <x:c r="K18" s="16" t="n">
        <x:f>IFERROR(Monthly_Prices!K18/Monthly_Prices!K17-1,"")</x:f>
        <x:v>0.12486232101732253</x:v>
      </x:c>
      <x:c r="L18" s="16" t="n">
        <x:f>IFERROR(Monthly_Prices!L18/Monthly_Prices!L17-1,"")</x:f>
        <x:v>0.10394837277079993</x:v>
      </x:c>
      <x:c r="M18" s="16" t="n">
        <x:f>IFERROR(Monthly_Prices!M18/Monthly_Prices!M17-1,"")</x:f>
        <x:v>0.02383720052535443</x:v>
      </x:c>
    </x:row>
    <x:row r="19">
      <x:c r="A19" t="str">
        <x:v>2025-11</x:v>
      </x:c>
      <x:c r="B19" s="16" t="n">
        <x:f>IFERROR(Monthly_Prices!B19/Monthly_Prices!B18-1,"")</x:f>
        <x:v>-0.008624820316243342</x:v>
      </x:c>
      <x:c r="C19" s="16" t="n">
        <x:f>IFERROR(Monthly_Prices!C19/Monthly_Prices!C18-1,"")</x:f>
        <x:v>0.11345895020188435</x:v>
      </x:c>
      <x:c r="D19" s="16" t="n">
        <x:f>IFERROR(Monthly_Prices!D19/Monthly_Prices!D18-1,"")</x:f>
        <x:v>0.07139487340776829</x:v>
      </x:c>
      <x:c r="E19" s="16" t="n">
        <x:f>IFERROR(Monthly_Prices!E19/Monthly_Prices!E18-1,"")</x:f>
        <x:v>0.20080496029587724</x:v>
      </x:c>
      <x:c r="F19" s="16" t="n">
        <x:f>IFERROR(Monthly_Prices!F19/Monthly_Prices!F18-1,"")</x:f>
        <x:v>0.19133333333333336</x:v>
      </x:c>
      <x:c r="G19" s="16" t="n">
        <x:f>IFERROR(Monthly_Prices!G19/Monthly_Prices!G18-1,"")</x:f>
        <x:v>0.19887955182072847</x:v>
      </x:c>
      <x:c r="H19" s="16" t="n">
        <x:f>IFERROR(Monthly_Prices!H19/Monthly_Prices!H18-1,"")</x:f>
        <x:v>0.0747298919567827</x:v>
      </x:c>
      <x:c r="I19" s="16" t="n">
        <x:f>IFERROR(Monthly_Prices!I19/Monthly_Prices!I18-1,"")</x:f>
        <x:v>0.11801632140615181</x:v>
      </x:c>
      <x:c r="J19" s="16" t="n">
        <x:f>IFERROR(Monthly_Prices!J19/Monthly_Prices!J18-1,"")</x:f>
        <x:v>0.3663060278207111</x:v>
      </x:c>
      <x:c r="K19" s="16" t="n">
        <x:f>IFERROR(Monthly_Prices!K19/Monthly_Prices!K18-1,"")</x:f>
        <x:v>0.09266512373152924</x:v>
      </x:c>
      <x:c r="L19" s="16" t="n">
        <x:f>IFERROR(Monthly_Prices!L19/Monthly_Prices!L18-1,"")</x:f>
        <x:v>0.09070337544785967</x:v>
      </x:c>
      <x:c r="M19" s="16" t="n">
        <x:f>IFERROR(Monthly_Prices!M19/Monthly_Prices!M18-1,"")</x:f>
        <x:v>0.001946328516661655</x:v>
      </x:c>
    </x:row>
    <x:row r="20">
      <x:c r="A20" t="str">
        <x:v>2025-12</x:v>
      </x:c>
      <x:c r="B20" s="16" t="n">
        <x:f>IFERROR(Monthly_Prices!B20/Monthly_Prices!B19-1,"")</x:f>
        <x:v>0.11744804253262453</x:v>
      </x:c>
      <x:c r="C20" s="16" t="n">
        <x:f>IFERROR(Monthly_Prices!C20/Monthly_Prices!C19-1,"")</x:f>
        <x:v>-0.04375679922639919</x:v>
      </x:c>
      <x:c r="D20" s="16" t="n">
        <x:f>IFERROR(Monthly_Prices!D20/Monthly_Prices!D19-1,"")</x:f>
        <x:v>-0.06737120211360625</x:v>
      </x:c>
      <x:c r="E20" s="16" t="n">
        <x:f>IFERROR(Monthly_Prices!E20/Monthly_Prices!E19-1,"")</x:f>
        <x:v>-0.22465803061871548</x:v>
      </x:c>
      <x:c r="F20" s="16" t="n">
        <x:f>IFERROR(Monthly_Prices!F20/Monthly_Prices!F19-1,"")</x:f>
        <x:v>0.05428091773922761</x:v>
      </x:c>
      <x:c r="G20" s="16" t="n">
        <x:f>IFERROR(Monthly_Prices!G20/Monthly_Prices!G19-1,"")</x:f>
        <x:v>-0.004672897196261738</x:v>
      </x:c>
      <x:c r="H20" s="16" t="n">
        <x:f>IFERROR(Monthly_Prices!H20/Monthly_Prices!H19-1,"")</x:f>
        <x:v>0.942194917620776</x:v>
      </x:c>
      <x:c r="I20" s="16" t="n">
        <x:f>IFERROR(Monthly_Prices!I20/Monthly_Prices!I19-1,"")</x:f>
        <x:v>-0.02947782144862432</x:v>
      </x:c>
      <x:c r="J20" s="16" t="n">
        <x:f>IFERROR(Monthly_Prices!J20/Monthly_Prices!J19-1,"")</x:f>
        <x:v>0.07296380090497734</x:v>
      </x:c>
      <x:c r="K20" s="16" t="n">
        <x:f>IFERROR(Monthly_Prices!K20/Monthly_Prices!K19-1,"")</x:f>
        <x:v>-0.006680244399185242</x:v>
      </x:c>
      <x:c r="L20" s="16" t="n">
        <x:f>IFERROR(Monthly_Prices!L20/Monthly_Prices!L19-1,"")</x:f>
        <x:v>-0.02806592899953897</x:v>
      </x:c>
      <x:c r="M20" s="16" t="n">
        <x:f>IFERROR(Monthly_Prices!M20/Monthly_Prices!M19-1,"")</x:f>
        <x:v>0.0007946785966563841</x:v>
      </x:c>
    </x:row>
    <x:row r="21">
      <x:c r="A21" t="str">
        <x:v>2026-01</x:v>
      </x:c>
      <x:c r="B21" s="16" t="n">
        <x:f>IFERROR(Monthly_Prices!B21/Monthly_Prices!B20-1,"")</x:f>
        <x:v>-0.09169550173010388</x:v>
      </x:c>
      <x:c r="C21" s="16" t="n">
        <x:f>IFERROR(Monthly_Prices!C21/Monthly_Prices!C20-1,"")</x:f>
        <x:v>0.04500063203134874</x:v>
      </x:c>
      <x:c r="D21" s="16" t="n">
        <x:f>IFERROR(Monthly_Prices!D21/Monthly_Prices!D20-1,"")</x:f>
        <x:v>-0.005508341202392186</x:v>
      </x:c>
      <x:c r="E21" s="16" t="n">
        <x:f>IFERROR(Monthly_Prices!E21/Monthly_Prices!E20-1,"")</x:f>
        <x:v>0.14289052459399443</x:v>
      </x:c>
      <x:c r="F21" s="16" t="n">
        <x:f>IFERROR(Monthly_Prices!F21/Monthly_Prices!F20-1,"")</x:f>
        <x:v>0.09076433121019112</x:v>
      </x:c>
      <x:c r="G21" s="16" t="n">
        <x:f>IFERROR(Monthly_Prices!G21/Monthly_Prices!G20-1,"")</x:f>
        <x:v>0.335680751173709</x:v>
      </x:c>
      <x:c r="H21" s="16" t="n">
        <x:f>IFERROR(Monthly_Prices!H21/Monthly_Prices!H20-1,"")</x:f>
        <x:v>0.27174694464414095</x:v>
      </x:c>
      <x:c r="I21" s="16" t="n">
        <x:f>IFERROR(Monthly_Prices!I21/Monthly_Prices!I20-1,"")</x:f>
        <x:v>-0.06884582007520978</x:v>
      </x:c>
      <x:c r="J21" s="16" t="n">
        <x:f>IFERROR(Monthly_Prices!J21/Monthly_Prices!J20-1,"")</x:f>
        <x:v>-0.12915129151291505</x:v>
      </x:c>
      <x:c r="K21" s="16" t="n">
        <x:f>IFERROR(Monthly_Prices!K21/Monthly_Prices!K20-1,"")</x:f>
        <x:v>0.023128024276223957</x:v>
      </x:c>
      <x:c r="L21" s="16" t="n">
        <x:f>IFERROR(Monthly_Prices!L21/Monthly_Prices!L20-1,"")</x:f>
        <x:v>0.021642454788022514</x:v>
      </x:c>
      <x:c r="M21" s="16" t="n">
        <x:f>IFERROR(Monthly_Prices!M21/Monthly_Prices!M20-1,"")</x:f>
        <x:v>0.014733994059347832</x:v>
      </x:c>
    </x:row>
    <x:row r="22">
      <x:c r="A22" t="str">
        <x:v>2026-02</x:v>
      </x:c>
      <x:c r="B22" s="16" t="n">
        <x:f>IFERROR(Monthly_Prices!B22/Monthly_Prices!B21-1,"")</x:f>
        <x:v>0.47809523809523813</x:v>
      </x:c>
      <x:c r="C22" s="16" t="n">
        <x:f>IFERROR(Monthly_Prices!C22/Monthly_Prices!C21-1,"")</x:f>
        <x:v>-0.018386355388895548</x:v>
      </x:c>
      <x:c r="D22" s="16" t="n">
        <x:f>IFERROR(Monthly_Prices!D22/Monthly_Prices!D21-1,"")</x:f>
        <x:v>-0.015350530147175134</x:v>
      </x:c>
      <x:c r="E22" s="16" t="n">
        <x:f>IFERROR(Monthly_Prices!E22/Monthly_Prices!E21-1,"")</x:f>
        <x:v>-0.45583725209568593</x:v>
      </x:c>
      <x:c r="F22" s="16" t="n">
        <x:f>IFERROR(Monthly_Prices!F22/Monthly_Prices!F21-1,"")</x:f>
        <x:v>-0.08710462287104614</x:v>
      </x:c>
      <x:c r="G22" s="16" t="n">
        <x:f>IFERROR(Monthly_Prices!G22/Monthly_Prices!G21-1,"")</x:f>
        <x:v>-0.05623901581722324</x:v>
      </x:c>
      <x:c r="H22" s="16" t="n">
        <x:f>IFERROR(Monthly_Prices!H22/Monthly_Prices!H21-1,"")</x:f>
        <x:v>-0.2879592990390052</x:v>
      </x:c>
      <x:c r="I22" s="16" t="n">
        <x:f>IFERROR(Monthly_Prices!I22/Monthly_Prices!I21-1,"")</x:f>
        <x:v>0.0003106554830694108</x:v>
      </x:c>
      <x:c r="J22" s="16" t="n">
        <x:f>IFERROR(Monthly_Prices!J22/Monthly_Prices!J21-1,"")</x:f>
        <x:v>-0.033292978208232404</x:v>
      </x:c>
      <x:c r="K22" s="16" t="n">
        <x:f>IFERROR(Monthly_Prices!K22/Monthly_Prices!K21-1,"")</x:f>
        <x:v>0.021002004008016106</x:v>
      </x:c>
      <x:c r="L22" s="16" t="n">
        <x:f>IFERROR(Monthly_Prices!L22/Monthly_Prices!L21-1,"")</x:f>
        <x:v>0.017063261752756853</x:v>
      </x:c>
      <x:c r="M22" s="16" t="n">
        <x:f>IFERROR(Monthly_Prices!M22/Monthly_Prices!M21-1,"")</x:f>
        <x:v>-0.008636679805240077</x:v>
      </x:c>
    </x:row>
    <x:row r="23">
      <x:c r="A23" t="str">
        <x:v>2026-03</x:v>
      </x:c>
      <x:c r="B23" s="16" t="n">
        <x:f>IFERROR(Monthly_Prices!B23/Monthly_Prices!B22-1,"")</x:f>
        <x:v>-0.005476804123711321</x:v>
      </x:c>
      <x:c r="C23" s="16" t="n">
        <x:f>IFERROR(Monthly_Prices!C23/Monthly_Prices!C22-1,"")</x:f>
        <x:v>-0.07467652495378929</x:v>
      </x:c>
      <x:c r="D23" s="16" t="n">
        <x:f>IFERROR(Monthly_Prices!D23/Monthly_Prices!D22-1,"")</x:f>
        <x:v>0.05930568948891035</x:v>
      </x:c>
      <x:c r="E23" s="16" t="n">
        <x:f>IFERROR(Monthly_Prices!E23/Monthly_Prices!E22-1,"")</x:f>
        <x:v>-0.029118917903437902</x:v>
      </x:c>
      <x:c r="F23" s="16" t="n">
        <x:f>IFERROR(Monthly_Prices!F23/Monthly_Prices!F22-1,"")</x:f>
        <x:v>-0.0746268656716419</x:v>
      </x:c>
      <x:c r="G23" s="16" t="n">
        <x:f>IFERROR(Monthly_Prices!G23/Monthly_Prices!G22-1,"")</x:f>
        <x:v>-0.12476722532588458</x:v>
      </x:c>
      <x:c r="H23" s="16" t="n">
        <x:f>IFERROR(Monthly_Prices!H23/Monthly_Prices!H22-1,"")</x:f>
        <x:v>-0.2346776754525245</x:v>
      </x:c>
      <x:c r="I23" s="16" t="n">
        <x:f>IFERROR(Monthly_Prices!I23/Monthly_Prices!I22-1,"")</x:f>
        <x:v>0.034782608695652195</x:v>
      </x:c>
      <x:c r="J23" s="16" t="n">
        <x:f>IFERROR(Monthly_Prices!J23/Monthly_Prices!J22-1,"")</x:f>
        <x:v>-0.029430181590482163</x:v>
      </x:c>
      <x:c r="K23" s="16" t="n">
        <x:f>IFERROR(Monthly_Prices!K23/Monthly_Prices!K22-1,"")</x:f>
        <x:v>0.00282641124283578</x:v>
      </x:c>
      <x:c r="L23" s="16" t="n">
        <x:f>IFERROR(Monthly_Prices!L23/Monthly_Prices!L22-1,"")</x:f>
        <x:v>-0.0364642775622005</x:v>
      </x:c>
      <x:c r="M23" s="16" t="n">
        <x:f>IFERROR(Monthly_Prices!M23/Monthly_Prices!M22-1,"")</x:f>
        <x:v>-0.04937730222767933</x:v>
      </x:c>
    </x:row>
    <x:row r="24">
      <x:c r="A24" t="str">
        <x:v>2026-04</x:v>
      </x:c>
      <x:c r="B24" s="16" t="n">
        <x:f>IFERROR(Monthly_Prices!B24/Monthly_Prices!B23-1,"")</x:f>
        <x:v>0.1214771622934887</x:v>
      </x:c>
      <x:c r="C24" s="16" t="n">
        <x:f>IFERROR(Monthly_Prices!C24/Monthly_Prices!C23-1,"")</x:f>
        <x:v>-0.0043947263284058735</x:v>
      </x:c>
      <x:c r="D24" s="16" t="n">
        <x:f>IFERROR(Monthly_Prices!D24/Monthly_Prices!D23-1,"")</x:f>
        <x:v>-0.0294340767713549</x:v>
      </x:c>
      <x:c r="E24" s="16" t="n">
        <x:f>IFERROR(Monthly_Prices!E24/Monthly_Prices!E23-1,"")</x:f>
        <x:v>0.05417956656346745</x:v>
      </x:c>
      <x:c r="F24" s="16" t="n">
        <x:f>IFERROR(Monthly_Prices!F24/Monthly_Prices!F23-1,"")</x:f>
        <x:v>0.1981566820276499</x:v>
      </x:c>
      <x:c r="G24" s="16" t="n">
        <x:f>IFERROR(Monthly_Prices!G24/Monthly_Prices!G23-1,"")</x:f>
        <x:v>-0.10212765957446812</x:v>
      </x:c>
      <x:c r="H24" s="16" t="n">
        <x:f>IFERROR(Monthly_Prices!H24/Monthly_Prices!H23-1,"")</x:f>
        <x:v>-0.14004149377593356</x:v>
      </x:c>
      <x:c r="I24" s="16" t="n">
        <x:f>IFERROR(Monthly_Prices!I24/Monthly_Prices!I23-1,"")</x:f>
        <x:v>-0.12665066026410565</x:v>
      </x:c>
      <x:c r="J24" s="16" t="n">
        <x:f>IFERROR(Monthly_Prices!J24/Monthly_Prices!J23-1,"")</x:f>
        <x:v>0.07741935483870965</x:v>
      </x:c>
      <x:c r="K24" s="16" t="n">
        <x:f>IFERROR(Monthly_Prices!K24/Monthly_Prices!K23-1,"")</x:f>
        <x:v>0.028184451577546454</x:v>
      </x:c>
      <x:c r="L24" s="16" t="n">
        <x:f>IFERROR(Monthly_Prices!L24/Monthly_Prices!L23-1,"")</x:f>
        <x:v>-0.0009475866153390022</x:v>
      </x:c>
      <x:c r="M24" s="16" t="n">
        <x:f>IFERROR(Monthly_Prices!M24/Monthly_Prices!M23-1,"")</x:f>
        <x:v>0.10505274164283285</x:v>
      </x:c>
    </x:row>
    <x:row r="25">
      <x:c r="A25" t="str">
        <x:v>2026-05</x:v>
      </x:c>
      <x:c r="B25" s="16" t="n">
        <x:f>IFERROR(Monthly_Prices!B25/Monthly_Prices!B24-1,"")</x:f>
        <x:v>0.16695551704217215</x:v>
      </x:c>
      <x:c r="C25" s="16" t="n">
        <x:f>IFERROR(Monthly_Prices!C25/Monthly_Prices!C24-1,"")</x:f>
        <x:v>0.02327447833065799</x:v>
      </x:c>
      <x:c r="D25" s="16" t="n">
        <x:f>IFERROR(Monthly_Prices!D25/Monthly_Prices!D24-1,"")</x:f>
        <x:v>0.19993747068938572</x:v>
      </x:c>
      <x:c r="E25" s="16" t="n">
        <x:f>IFERROR(Monthly_Prices!E25/Monthly_Prices!E24-1,"")</x:f>
        <x:v>0.3157121879588842</x:v>
      </x:c>
      <x:c r="F25" s="16" t="n">
        <x:f>IFERROR(Monthly_Prices!F25/Monthly_Prices!F24-1,"")</x:f>
        <x:v>-1</x:v>
      </x:c>
      <x:c r="G25" s="16" t="n">
        <x:f>IFERROR(Monthly_Prices!G25/Monthly_Prices!G24-1,"")</x:f>
        <x:v>-0.14691943127962082</x:v>
      </x:c>
      <x:c r="H25" s="16" t="n">
        <x:f>IFERROR(Monthly_Prices!H25/Monthly_Prices!H24-1,"")</x:f>
        <x:v>-0.050904704463208716</x:v>
      </x:c>
      <x:c r="I25" s="16" t="n">
        <x:f>IFERROR(Monthly_Prices!I25/Monthly_Prices!I24-1,"")</x:f>
        <x:v>0.01271477663230236</x:v>
      </x:c>
      <x:c r="J25" s="16" t="n">
        <x:f>IFERROR(Monthly_Prices!J25/Monthly_Prices!J24-1,"")</x:f>
        <x:v>0.06347305389221569</x:v>
      </x:c>
      <x:c r="K25" s="16" t="n">
        <x:f>IFERROR(Monthly_Prices!K25/Monthly_Prices!K24-1,"")</x:f>
        <x:v>0.04081321860960929</x:v>
      </x:c>
      <x:c r="L25" s="16" t="n">
        <x:f>IFERROR(Monthly_Prices!L25/Monthly_Prices!L24-1,"")</x:f>
        <x:v>0.02068883751259709</x:v>
      </x:c>
      <x:c r="M25" s="16" t="n">
        <x:f>IFERROR(Monthly_Prices!M25/Monthly_Prices!M24-1,"")</x:f>
        <x:v>0.05262572009016786</x:v>
      </x:c>
    </x:row>
    <x:row r="26">
      <x:c r="A26" t="str">
        <x:v>2026-06</x:v>
      </x:c>
      <x:c r="B26" s="16" t="n">
        <x:f>IFERROR(Monthly_Prices!B26/Monthly_Prices!B25-1,"")</x:f>
        <x:v>-0.1499999999999999</x:v>
      </x:c>
      <x:c r="C26" s="16" t="n">
        <x:f>IFERROR(Monthly_Prices!C26/Monthly_Prices!C25-1,"")</x:f>
        <x:v>-0.040784313725490295</x:v>
      </x:c>
      <x:c r="D26" s="16" t="n">
        <x:f>IFERROR(Monthly_Prices!D26/Monthly_Prices!D25-1,"")</x:f>
        <x:v>-0.12623762376237635</x:v>
      </x:c>
      <x:c r="E26" s="16" t="n">
        <x:f>IFERROR(Monthly_Prices!E26/Monthly_Prices!E25-1,"")</x:f>
        <x:v>-0.16768973214285732</x:v>
      </x:c>
      <x:c r="F26" s="16" t="str">
        <x:f>IFERROR(Monthly_Prices!F26/Monthly_Prices!F25-1,"")</x:f>
      </x:c>
      <x:c r="G26" s="16" t="n">
        <x:f>IFERROR(Monthly_Prices!G26/Monthly_Prices!G25-1,"")</x:f>
        <x:v>-0.17222222222222228</x:v>
      </x:c>
      <x:c r="H26" s="16" t="n">
        <x:f>IFERROR(Monthly_Prices!H26/Monthly_Prices!H25-1,"")</x:f>
        <x:v>0.08362989323843406</x:v>
      </x:c>
      <x:c r="I26" s="16" t="n">
        <x:f>IFERROR(Monthly_Prices!I26/Monthly_Prices!I25-1,"")</x:f>
        <x:v>0.03257550050899227</x:v>
      </x:c>
      <x:c r="J26" s="16" t="n">
        <x:f>IFERROR(Monthly_Prices!J26/Monthly_Prices!J25-1,"")</x:f>
        <x:v>-0.03828828828828845</x:v>
      </x:c>
      <x:c r="K26" s="16" t="n">
        <x:f>IFERROR(Monthly_Prices!K26/Monthly_Prices!K25-1,"")</x:f>
        <x:v>-0.02121588997000512</x:v>
      </x:c>
      <x:c r="L26" s="16" t="n">
        <x:f>IFERROR(Monthly_Prices!L26/Monthly_Prices!L25-1,"")</x:f>
        <x:v>0.0003484725287490331</x:v>
      </x:c>
      <x:c r="M26" s="16" t="n">
        <x:f>IFERROR(Monthly_Prices!M26/Monthly_Prices!M25-1,"")</x:f>
        <x:v>-0.005922165820642977</x:v>
      </x:c>
    </x:row>
  </x:sheetData>
  <x:pageMargins left="0.7" right="0.7" top="0.75" bottom="0.75" header="0.3" footer="0.3"/>
  <x:tableParts count="1">
    <x:tablePart xmlns:r="http://schemas.openxmlformats.org/officeDocument/2006/relationships" r:id="Rfc03d0dbbc72405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.880000114440918" hidden="0" customWidth="1"/>
    <x:col min="3" max="3" width="5.130000114440918" hidden="0" customWidth="1"/>
    <x:col min="4" max="4" width="7.380000114440918" hidden="0" customWidth="1"/>
    <x:col min="5" max="5" width="11.380000114440918" hidden="0" customWidth="1"/>
    <x:col min="6" max="6" width="12.630000114440918" hidden="0" customWidth="1"/>
    <x:col min="8" max="8" width="6.75" hidden="0" customWidth="1"/>
    <x:col min="9" max="9" width="12.25" hidden="0" customWidth="1"/>
    <x:col min="10" max="10" width="7.75" hidden="0" customWidth="1"/>
    <x:col min="11" max="11" width="7.75" hidden="0" customWidth="1"/>
    <x:col min="12" max="12" width="8" hidden="0" customWidth="1"/>
    <x:col min="14" max="14" width="6.75" hidden="0" customWidth="1"/>
    <x:col min="15" max="15" width="10.380000114440918" hidden="0" customWidth="1"/>
    <x:col min="16" max="16" width="6.25" hidden="0" customWidth="1"/>
    <x:col min="17" max="17" width="6.25" hidden="0" customWidth="1"/>
    <x:col min="18" max="18" width="6.130000114440918" hidden="0" customWidth="1"/>
  </x:cols>
  <x:sheetData>
    <x:row r="1">
      <x:c r="A1" s="44" t="str">
        <x:v>Equal-Weight Watchlist vs Benchmarks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3">
      <x:c r="A3" s="11" t="str">
        <x:v>Portfolio / Benchmark</x:v>
      </x:c>
      <x:c r="B3" s="11" t="str">
        <x:v>Total Return</x:v>
      </x:c>
      <x:c r="C3" s="11" t="str">
        <x:v>CAGR</x:v>
      </x:c>
      <x:c r="D3" s="11" t="str">
        <x:v>Volatility</x:v>
      </x:c>
      <x:c r="E3" s="11" t="str">
        <x:v>Sharpe (4% rf)</x:v>
      </x:c>
      <x:c r="F3" s="11" t="str">
        <x:v>Max Drawdown</x:v>
      </x:c>
      <x:c r="H3" s="11" t="str">
        <x:v>Month</x:v>
      </x:c>
      <x:c r="I3" s="11" t="str">
        <x:v>Watchlist Index</x:v>
      </x:c>
      <x:c r="J3" s="11" t="str">
        <x:v>XBI Index</x:v>
      </x:c>
      <x:c r="K3" s="11" t="str">
        <x:v>IBB Index</x:v>
      </x:c>
      <x:c r="L3" s="11" t="str">
        <x:v>SPY Index</x:v>
      </x:c>
      <x:c r="N3" s="11" t="str">
        <x:v>Month</x:v>
      </x:c>
      <x:c r="O3" s="11" t="str">
        <x:v>Watchlist DD</x:v>
      </x:c>
      <x:c r="P3" s="11" t="str">
        <x:v>XBI DD</x:v>
      </x:c>
      <x:c r="Q3" s="11" t="str">
        <x:v>IBB DD</x:v>
      </x:c>
      <x:c r="R3" s="11" t="str">
        <x:v>SPY DD</x:v>
      </x:c>
    </x:row>
    <x:row r="4">
      <x:c r="A4" t="str">
        <x:v>Equal-Weight Watchlist</x:v>
      </x:c>
      <x:c r="B4" s="16" t="n">
        <x:f>I28/I4-1</x:f>
        <x:v>1.2866062048580345</x:v>
      </x:c>
      <x:c r="C4" s="16" t="n">
        <x:f>(I28/I4)^(12/(COUNT(I4:I28)-1))-1</x:f>
        <x:v>0.51215283779717</x:v>
      </x:c>
      <x:c r="D4" s="16" t="n">
        <x:f>STDEV.P(I5:I28/I4:I27-1)*SQRT(12)</x:f>
        <x:v>0.46663261221416846</x:v>
      </x:c>
      <x:c r="E4" s="18" t="n">
        <x:f>IFERROR((C4-4%)/D4,"")</x:f>
        <x:v>1.0118299180951116</x:v>
      </x:c>
      <x:c r="F4" s="16" t="n">
        <x:f>MIN(O4:O28)</x:f>
        <x:v>-0.3374862603588811</x:v>
      </x:c>
      <x:c r="H4" t="str">
        <x:v>2024-06</x:v>
      </x:c>
      <x:c r="I4" s="32" t="n">
        <x:v>100</x:v>
      </x:c>
      <x:c r="J4" s="32" t="n">
        <x:v>100</x:v>
      </x:c>
      <x:c r="K4" s="32" t="n">
        <x:v>100</x:v>
      </x:c>
      <x:c r="L4" s="32" t="n">
        <x:v>100</x:v>
      </x:c>
      <x:c r="N4" t="str">
        <x:v>2024-06</x:v>
      </x:c>
      <x:c r="O4" s="16" t="n">
        <x:f>I4/MAX($I$4:I4)-1</x:f>
        <x:v>0</x:v>
      </x:c>
      <x:c r="P4" s="16" t="n">
        <x:f>J4/MAX($J$4:J4)-1</x:f>
        <x:v>0</x:v>
      </x:c>
      <x:c r="Q4" s="16" t="n">
        <x:f>K4/MAX($K$4:K4)-1</x:f>
        <x:v>0</x:v>
      </x:c>
      <x:c r="R4" s="16" t="n">
        <x:f>L4/MAX($L$4:L4)-1</x:f>
        <x:v>0</x:v>
      </x:c>
    </x:row>
    <x:row r="5">
      <x:c r="A5" t="str">
        <x:v>XBI</x:v>
      </x:c>
      <x:c r="B5" s="16" t="n">
        <x:f>J28/J4-1</x:f>
        <x:v>0.4487276664861941</x:v>
      </x:c>
      <x:c r="C5" s="16" t="n">
        <x:f>(J28/J4)^(12/(COUNT(J4:J28)-1))-1</x:f>
        <x:v>0.20363103419868422</x:v>
      </x:c>
      <x:c r="D5" s="16" t="n">
        <x:f>STDEV.P(J5:J28/J4:J27-1)*SQRT(12)</x:f>
        <x:v>0.18554841927772348</x:v>
      </x:c>
      <x:c r="E5" s="18" t="n">
        <x:f>IFERROR((C5-4%)/D5,"")</x:f>
        <x:v>0.8818778130023627</x:v>
      </x:c>
      <x:c r="F5" s="16" t="n">
        <x:f>MIN(P4:P28)</x:f>
        <x:v>-0.21772754312908982</x:v>
      </x:c>
      <x:c r="H5" t="str">
        <x:v>2024-07</x:v>
      </x:c>
      <x:c r="I5" s="32" t="n">
        <x:f>IFERROR(I4*(1+AVERAGE(Monthly_Returns!B3:J3)),"")</x:f>
        <x:v>109.51740649416062</x:v>
      </x:c>
      <x:c r="J5" s="32" t="n">
        <x:f>IFERROR(J4*(1+Monthly_Returns!K3),"")</x:f>
        <x:v>106.84353004872766</x:v>
      </x:c>
      <x:c r="K5" s="32" t="n">
        <x:f>IFERROR(K4*(1+Monthly_Returns!L3),"")</x:f>
        <x:v>107.798769771529</x:v>
      </x:c>
      <x:c r="L5" s="32" t="n">
        <x:f>IFERROR(L4*(1+Monthly_Returns!M3),"")</x:f>
        <x:v>101.21013133208257</x:v>
      </x:c>
      <x:c r="N5" t="str">
        <x:v>2024-07</x:v>
      </x:c>
      <x:c r="O5" s="16" t="n">
        <x:f>I5/MAX($I$4:I5)-1</x:f>
        <x:v>0</x:v>
      </x:c>
      <x:c r="P5" s="16" t="n">
        <x:f>J5/MAX($J$4:J5)-1</x:f>
        <x:v>0</x:v>
      </x:c>
      <x:c r="Q5" s="16" t="n">
        <x:f>K5/MAX($K$4:K5)-1</x:f>
        <x:v>0</x:v>
      </x:c>
      <x:c r="R5" s="16" t="n">
        <x:f>L5/MAX($L$4:L5)-1</x:f>
        <x:v>0</x:v>
      </x:c>
    </x:row>
    <x:row r="6">
      <x:c r="A6" t="str">
        <x:v>IBB</x:v>
      </x:c>
      <x:c r="B6" s="16" t="n">
        <x:f>K28/K4-1</x:f>
        <x:v>0.26127709431751533</x:v>
      </x:c>
      <x:c r="C6" s="16" t="n">
        <x:f>(K28/K4)^(12/(COUNT(K4:K28)-1))-1</x:f>
        <x:v>0.12306593498223206</x:v>
      </x:c>
      <x:c r="D6" s="16" t="n">
        <x:f>STDEV.P(K5:K28/K4:K27-1)*SQRT(12)</x:f>
        <x:v>0.154548963815718</x:v>
      </x:c>
      <x:c r="E6" s="18" t="n">
        <x:f>IFERROR((C6-4%)/D6,"")</x:f>
        <x:v>0.5374732572214376</x:v>
      </x:c>
      <x:c r="F6" s="16" t="n">
        <x:f>MIN(Q4:Q28)</x:f>
        <x:v>-0.17624313140221148</x:v>
      </x:c>
      <x:c r="H6" t="str">
        <x:v>2024-08</x:v>
      </x:c>
      <x:c r="I6" s="32" t="n">
        <x:f>IFERROR(I5*(1+AVERAGE(Monthly_Returns!B4:J4)),"")</x:f>
        <x:v>114.83688934340056</x:v>
      </x:c>
      <x:c r="J6" s="32" t="n">
        <x:f>IFERROR(J5*(1+Monthly_Returns!K4),"")</x:f>
        <x:v>109.21494315105576</x:v>
      </x:c>
      <x:c r="K6" s="32" t="n">
        <x:f>IFERROR(K5*(1+Monthly_Returns!L4),"")</x:f>
        <x:v>107.94522554188634</x:v>
      </x:c>
      <x:c r="L6" s="32" t="n">
        <x:f>IFERROR(L5*(1+Monthly_Returns!M4),"")</x:f>
        <x:v>103.57598499061915</x:v>
      </x:c>
      <x:c r="N6" t="str">
        <x:v>2024-08</x:v>
      </x:c>
      <x:c r="O6" s="16" t="n">
        <x:f>I6/MAX($I$4:I6)-1</x:f>
        <x:v>0</x:v>
      </x:c>
      <x:c r="P6" s="16" t="n">
        <x:f>J6/MAX($J$4:J6)-1</x:f>
        <x:v>0</x:v>
      </x:c>
      <x:c r="Q6" s="16" t="n">
        <x:f>K6/MAX($K$4:K6)-1</x:f>
        <x:v>0</x:v>
      </x:c>
      <x:c r="R6" s="16" t="n">
        <x:f>L6/MAX($L$4:L6)-1</x:f>
        <x:v>0</x:v>
      </x:c>
    </x:row>
    <x:row r="7">
      <x:c r="A7" t="str">
        <x:v>SPY</x:v>
      </x:c>
      <x:c r="B7" s="16" t="n">
        <x:f>L28/L4-1</x:f>
        <x:v>0.41088180112570405</x:v>
      </x:c>
      <x:c r="C7" s="16" t="n">
        <x:f>(L28/L4)^(12/(COUNT(L4:L28)-1))-1</x:f>
        <x:v>0.18780545592521336</x:v>
      </x:c>
      <x:c r="D7" s="16" t="n">
        <x:f>STDEV.P(L5:L28/L4:L27-1)*SQRT(12)</x:f>
        <x:v>0.12231744114863186</x:v>
      </x:c>
      <x:c r="E7" s="18" t="n">
        <x:f>IFERROR((C7-4%)/D7,"")</x:f>
        <x:v>1.2083759645168688</x:v>
      </x:c>
      <x:c r="F7" s="16" t="n">
        <x:f>MIN(R4:R28)</x:f>
        <x:v>-0.07577545515846262</x:v>
      </x:c>
      <x:c r="H7" t="str">
        <x:v>2024-09</x:v>
      </x:c>
      <x:c r="I7" s="32" t="n">
        <x:f>IFERROR(I6*(1+AVERAGE(Monthly_Returns!B5:J5)),"")</x:f>
        <x:v>109.21536564556008</x:v>
      </x:c>
      <x:c r="J7" s="32" t="n">
        <x:f>IFERROR(J6*(1+Monthly_Returns!K5),"")</x:f>
        <x:v>106.5836491608013</x:v>
      </x:c>
      <x:c r="K7" s="32" t="n">
        <x:f>IFERROR(K6*(1+Monthly_Returns!L5),"")</x:f>
        <x:v>106.22437024018745</x:v>
      </x:c>
      <x:c r="L7" s="32" t="n">
        <x:f>IFERROR(L6*(1+Monthly_Returns!M5),"")</x:f>
        <x:v>105.750469043152</x:v>
      </x:c>
      <x:c r="N7" t="str">
        <x:v>2024-09</x:v>
      </x:c>
      <x:c r="O7" s="16" t="n">
        <x:f>I7/MAX($I$4:I7)-1</x:f>
        <x:v>-0.04895224635552642</x:v>
      </x:c>
      <x:c r="P7" s="16" t="n">
        <x:f>J7/MAX($J$4:J7)-1</x:f>
        <x:v>-0.024092801903628724</x:v>
      </x:c>
      <x:c r="Q7" s="16" t="n">
        <x:f>K7/MAX($K$4:K7)-1</x:f>
        <x:v>-0.015941930669561066</x:v>
      </x:c>
      <x:c r="R7" s="16" t="n">
        <x:f>L7/MAX($L$4:L7)-1</x:f>
        <x:v>0</x:v>
      </x:c>
    </x:row>
    <x:row r="8">
      <x:c r="H8" t="str">
        <x:v>2024-10</x:v>
      </x:c>
      <x:c r="I8" s="32" t="n">
        <x:f>IFERROR(I7*(1+AVERAGE(Monthly_Returns!B6:J6)),"")</x:f>
        <x:v>98.41805879553426</x:v>
      </x:c>
      <x:c r="J8" s="32" t="n">
        <x:f>IFERROR(J7*(1+Monthly_Returns!K6),"")</x:f>
        <x:v>104.6778559826746</x:v>
      </x:c>
      <x:c r="K8" s="32" t="n">
        <x:f>IFERROR(K7*(1+Monthly_Returns!L6),"")</x:f>
        <x:v>102.3506151142355</x:v>
      </x:c>
      <x:c r="L8" s="32" t="n">
        <x:f>IFERROR(L7*(1+Monthly_Returns!M6),"")</x:f>
        <x:v>104.8067542213884</x:v>
      </x:c>
      <x:c r="N8" t="str">
        <x:v>2024-10</x:v>
      </x:c>
      <x:c r="O8" s="16" t="n">
        <x:f>I8/MAX($I$4:I8)-1</x:f>
        <x:v>-0.14297522896818038</x:v>
      </x:c>
      <x:c r="P8" s="16" t="n">
        <x:f>J8/MAX($J$4:J8)-1</x:f>
        <x:v>-0.04154273250049578</x:v>
      </x:c>
      <x:c r="Q8" s="16" t="n">
        <x:f>K8/MAX($K$4:K8)-1</x:f>
        <x:v>-0.05182823417678584</x:v>
      </x:c>
      <x:c r="R8" s="16" t="n">
        <x:f>L8/MAX($L$4:L8)-1</x:f>
        <x:v>-0.008923977645702075</x:v>
      </x:c>
    </x:row>
    <x:row r="9">
      <x:c r="H9" t="str">
        <x:v>2024-11</x:v>
      </x:c>
      <x:c r="I9" s="32" t="n">
        <x:f>IFERROR(I8*(1+AVERAGE(Monthly_Returns!B7:J7)),"")</x:f>
        <x:v>96.88235120926636</x:v>
      </x:c>
      <x:c r="J9" s="32" t="n">
        <x:f>IFERROR(J8*(1+Monthly_Returns!K7),"")</x:f>
        <x:v>107.47157552788303</x:v>
      </x:c>
      <x:c r="K9" s="32" t="n">
        <x:f>IFERROR(K8*(1+Monthly_Returns!L7),"")</x:f>
        <x:v>103.26596367896893</x:v>
      </x:c>
      <x:c r="L9" s="32" t="n">
        <x:f>IFERROR(L8*(1+Monthly_Returns!M7),"")</x:f>
        <x:v>111.05628517823644</x:v>
      </x:c>
      <x:c r="N9" t="str">
        <x:v>2024-11</x:v>
      </x:c>
      <x:c r="O9" s="16" t="n">
        <x:f>I9/MAX($I$4:I9)-1</x:f>
        <x:v>-0.15634817554526526</x:v>
      </x:c>
      <x:c r="P9" s="16" t="n">
        <x:f>J9/MAX($J$4:J9)-1</x:f>
        <x:v>-0.015962720602815894</x:v>
      </x:c>
      <x:c r="Q9" s="16" t="n">
        <x:f>K9/MAX($K$4:K9)-1</x:f>
        <x:v>-0.043348483820636496</x:v>
      </x:c>
      <x:c r="R9" s="16" t="n">
        <x:f>L9/MAX($L$4:L9)-1</x:f>
        <x:v>0</x:v>
      </x:c>
    </x:row>
    <x:row r="10">
      <x:c r="H10" t="str">
        <x:v>2024-12</x:v>
      </x:c>
      <x:c r="I10" s="32" t="n">
        <x:f>IFERROR(I9*(1+AVERAGE(Monthly_Returns!B8:J8)),"")</x:f>
        <x:v>88.78442094682168</x:v>
      </x:c>
      <x:c r="J10" s="32" t="n">
        <x:f>IFERROR(J9*(1+Monthly_Returns!K8),"")</x:f>
        <x:v>97.1521386031402</x:v>
      </x:c>
      <x:c r="K10" s="32" t="n">
        <x:f>IFERROR(K9*(1+Monthly_Returns!L8),"")</x:f>
        <x:v>96.49970708845926</x:v>
      </x:c>
      <x:c r="L10" s="32" t="n">
        <x:f>IFERROR(L9*(1+Monthly_Returns!M8),"")</x:f>
        <x:v>108.38461538461544</x:v>
      </x:c>
      <x:c r="N10" t="str">
        <x:v>2024-12</x:v>
      </x:c>
      <x:c r="O10" s="16" t="n">
        <x:f>I10/MAX($I$4:I10)-1</x:f>
        <x:v>-0.22686497819244578</x:v>
      </x:c>
      <x:c r="P10" s="16" t="n">
        <x:f>J10/MAX($J$4:J10)-1</x:f>
        <x:v>-0.11045012889153305</x:v>
      </x:c>
      <x:c r="Q10" s="16" t="n">
        <x:f>K10/MAX($K$4:K10)-1</x:f>
        <x:v>-0.10603079845329377</x:v>
      </x:c>
      <x:c r="R10" s="16" t="n">
        <x:f>L10/MAX($L$4:L10)-1</x:f>
        <x:v>-0.024056898619769007</x:v>
      </x:c>
    </x:row>
    <x:row r="11">
      <x:c r="H11" t="str">
        <x:v>2025-01</x:v>
      </x:c>
      <x:c r="I11" s="32" t="n">
        <x:f>IFERROR(I10*(1+AVERAGE(Monthly_Returns!B9:J9)),"")</x:f>
        <x:v>97.51563827739558</x:v>
      </x:c>
      <x:c r="J11" s="32" t="n">
        <x:f>IFERROR(J10*(1+Monthly_Returns!K9),"")</x:f>
        <x:v>99.96751488900918</x:v>
      </x:c>
      <x:c r="K11" s="32" t="n">
        <x:f>IFERROR(K10*(1+Monthly_Returns!L9),"")</x:f>
        <x:v>101.20093731693026</x:v>
      </x:c>
      <x:c r="L11" s="32" t="n">
        <x:f>IFERROR(L10*(1+Monthly_Returns!M9),"")</x:f>
        <x:v>111.2945590994372</x:v>
      </x:c>
      <x:c r="N11" t="str">
        <x:v>2025-01</x:v>
      </x:c>
      <x:c r="O11" s="16" t="n">
        <x:f>I11/MAX($I$4:I11)-1</x:f>
        <x:v>-0.1508335097288177</x:v>
      </x:c>
      <x:c r="P11" s="16" t="n">
        <x:f>J11/MAX($J$4:J11)-1</x:f>
        <x:v>-0.08467182232797954</x:v>
      </x:c>
      <x:c r="Q11" s="16" t="n">
        <x:f>K11/MAX($K$4:K11)-1</x:f>
        <x:v>-0.06247880062410982</x:v>
      </x:c>
      <x:c r="R11" s="16" t="n">
        <x:f>L11/MAX($L$4:L11)-1</x:f>
        <x:v>0</x:v>
      </x:c>
    </x:row>
    <x:row r="12">
      <x:c r="H12" t="str">
        <x:v>2025-02</x:v>
      </x:c>
      <x:c r="I12" s="32" t="n">
        <x:f>IFERROR(I11*(1+AVERAGE(Monthly_Returns!B10:J10)),"")</x:f>
        <x:v>91.27772198472324</x:v>
      </x:c>
      <x:c r="J12" s="32" t="n">
        <x:f>IFERROR(J11*(1+Monthly_Returns!K10),"")</x:f>
        <x:v>95.70113697888465</x:v>
      </x:c>
      <x:c r="K12" s="32" t="n">
        <x:f>IFERROR(K11*(1+Monthly_Returns!L10),"")</x:f>
        <x:v>100.01464557703574</x:v>
      </x:c>
      <x:c r="L12" s="32" t="n">
        <x:f>IFERROR(L11*(1+Monthly_Returns!M10),"")</x:f>
        <x:v>109.88367729831147</x:v>
      </x:c>
      <x:c r="N12" t="str">
        <x:v>2025-02</x:v>
      </x:c>
      <x:c r="O12" s="16" t="n">
        <x:f>I12/MAX($I$4:I12)-1</x:f>
        <x:v>-0.20515330477323845</x:v>
      </x:c>
      <x:c r="P12" s="16" t="n">
        <x:f>J12/MAX($J$4:J12)-1</x:f>
        <x:v>-0.12373587150505672</x:v>
      </x:c>
      <x:c r="Q12" s="16" t="n">
        <x:f>K12/MAX($K$4:K12)-1</x:f>
        <x:v>-0.07346855708567934</x:v>
      </x:c>
      <x:c r="R12" s="16" t="n">
        <x:f>L12/MAX($L$4:L12)-1</x:f>
        <x:v>-0.01267700606877964</x:v>
      </x:c>
    </x:row>
    <x:row r="13">
      <x:c r="H13" t="str">
        <x:v>2025-03</x:v>
      </x:c>
      <x:c r="I13" s="32" t="n">
        <x:f>IFERROR(I12*(1+AVERAGE(Monthly_Returns!B11:J11)),"")</x:f>
        <x:v>76.08101700764966</x:v>
      </x:c>
      <x:c r="J13" s="32" t="n">
        <x:f>IFERROR(J12*(1+Monthly_Returns!K11),"")</x:f>
        <x:v>87.49323226854357</x:v>
      </x:c>
      <x:c r="K13" s="32" t="n">
        <x:f>IFERROR(K12*(1+Monthly_Returns!L11),"")</x:f>
        <x:v>93.43145869947276</x:v>
      </x:c>
      <x:c r="L13" s="32" t="n">
        <x:f>IFERROR(L12*(1+Monthly_Returns!M11),"")</x:f>
        <x:v>103.75984990619139</x:v>
      </x:c>
      <x:c r="N13" t="str">
        <x:v>2025-03</x:v>
      </x:c>
      <x:c r="O13" s="16" t="n">
        <x:f>I13/MAX($I$4:I13)-1</x:f>
        <x:v>-0.3374862603588811</x:v>
      </x:c>
      <x:c r="P13" s="16" t="n">
        <x:f>J13/MAX($J$4:J13)-1</x:f>
        <x:v>-0.19888954987110863</x:v>
      </x:c>
      <x:c r="Q13" s="16" t="n">
        <x:f>K13/MAX($K$4:K13)-1</x:f>
        <x:v>-0.1344549216471067</x:v>
      </x:c>
      <x:c r="R13" s="16" t="n">
        <x:f>L13/MAX($L$4:L13)-1</x:f>
        <x:v>-0.06770060687795032</x:v>
      </x:c>
    </x:row>
    <x:row r="14">
      <x:c r="H14" t="str">
        <x:v>2025-04</x:v>
      </x:c>
      <x:c r="I14" s="32" t="n">
        <x:f>IFERROR(I13*(1+AVERAGE(Monthly_Returns!B12:J12)),"")</x:f>
        <x:v>86.63167361499043</x:v>
      </x:c>
      <x:c r="J14" s="32" t="n">
        <x:f>IFERROR(J13*(1+Monthly_Returns!K12),"")</x:f>
        <x:v>89.49648077964267</x:v>
      </x:c>
      <x:c r="K14" s="32" t="n">
        <x:f>IFERROR(K13*(1+Monthly_Returns!L12),"")</x:f>
        <x:v>92.4721734036321</x:v>
      </x:c>
      <x:c r="L14" s="32" t="n">
        <x:f>IFERROR(L13*(1+Monthly_Returns!M12),"")</x:f>
        <x:v>102.86116322701692</x:v>
      </x:c>
      <x:c r="N14" t="str">
        <x:v>2025-04</x:v>
      </x:c>
      <x:c r="O14" s="16" t="n">
        <x:f>I14/MAX($I$4:I14)-1</x:f>
        <x:v>-0.24561110884906623</x:v>
      </x:c>
      <x:c r="P14" s="16" t="n">
        <x:f>J14/MAX($J$4:J14)-1</x:f>
        <x:v>-0.18054729327781083</x:v>
      </x:c>
      <x:c r="Q14" s="16" t="n">
        <x:f>K14/MAX($K$4:K14)-1</x:f>
        <x:v>-0.1433417000203514</x:v>
      </x:c>
      <x:c r="R14" s="16" t="n">
        <x:f>L14/MAX($L$4:L14)-1</x:f>
        <x:v>-0.07577545515846262</x:v>
      </x:c>
    </x:row>
    <x:row r="15">
      <x:c r="H15" t="str">
        <x:v>2025-05</x:v>
      </x:c>
      <x:c r="I15" s="32" t="n">
        <x:f>IFERROR(I14*(1+AVERAGE(Monthly_Returns!B13:J13)),"")</x:f>
        <x:v>110.13370947253902</x:v>
      </x:c>
      <x:c r="J15" s="32" t="n">
        <x:f>IFERROR(J14*(1+Monthly_Returns!K13),"")</x:f>
        <x:v>85.43584190579318</x:v>
      </x:c>
      <x:c r="K15" s="32" t="n">
        <x:f>IFERROR(K14*(1+Monthly_Returns!L13),"")</x:f>
        <x:v>88.92062097246631</x:v>
      </x:c>
      <x:c r="L15" s="32" t="n">
        <x:f>IFERROR(L14*(1+Monthly_Returns!M13),"")</x:f>
        <x:v>109.32457786116328</x:v>
      </x:c>
      <x:c r="N15" t="str">
        <x:v>2025-05</x:v>
      </x:c>
      <x:c r="O15" s="16" t="n">
        <x:f>I15/MAX($I$4:I15)-1</x:f>
        <x:v>-0.04095530537053693</x:v>
      </x:c>
      <x:c r="P15" s="16" t="n">
        <x:f>J15/MAX($J$4:J15)-1</x:f>
        <x:v>-0.21772754312908982</x:v>
      </x:c>
      <x:c r="Q15" s="16" t="n">
        <x:f>K15/MAX($K$4:K15)-1</x:f>
        <x:v>-0.17624313140221148</x:v>
      </x:c>
      <x:c r="R15" s="16" t="n">
        <x:f>L15/MAX($L$4:L15)-1</x:f>
        <x:v>-0.017700606877950054</x:v>
      </x:c>
    </x:row>
    <x:row r="16">
      <x:c r="H16" t="str">
        <x:v>2025-06</x:v>
      </x:c>
      <x:c r="I16" s="32" t="n">
        <x:f>IFERROR(I15*(1+AVERAGE(Monthly_Returns!B14:J14)),"")</x:f>
        <x:v>120.22523700166704</x:v>
      </x:c>
      <x:c r="J16" s="32" t="n">
        <x:f>IFERROR(J15*(1+Monthly_Returns!K14),"")</x:f>
        <x:v>89.47482403898213</x:v>
      </x:c>
      <x:c r="K16" s="32" t="n">
        <x:f>IFERROR(K15*(1+Monthly_Returns!L14),"")</x:f>
        <x:v>92.420913884007</x:v>
      </x:c>
      <x:c r="L16" s="32" t="n">
        <x:f>IFERROR(L15*(1+Monthly_Returns!M14),"")</x:f>
        <x:v>114.94371482176365</x:v>
      </x:c>
      <x:c r="N16" t="str">
        <x:v>2025-06</x:v>
      </x:c>
      <x:c r="O16" s="16" t="n">
        <x:f>I16/MAX($I$4:I16)-1</x:f>
        <x:v>0</x:v>
      </x:c>
      <x:c r="P16" s="16" t="n">
        <x:f>J16/MAX($J$4:J16)-1</x:f>
        <x:v>-0.18074558794368423</x:v>
      </x:c>
      <x:c r="Q16" s="16" t="n">
        <x:f>K16/MAX($K$4:K16)-1</x:f>
        <x:v>-0.1438165660402959</x:v>
      </x:c>
      <x:c r="R16" s="16" t="n">
        <x:f>L16/MAX($L$4:L16)-1</x:f>
        <x:v>0</x:v>
      </x:c>
    </x:row>
    <x:row r="17">
      <x:c r="H17" t="str">
        <x:v>2025-07</x:v>
      </x:c>
      <x:c r="I17" s="32" t="n">
        <x:f>IFERROR(I16*(1+AVERAGE(Monthly_Returns!B15:J15)),"")</x:f>
        <x:v>119.55189942076134</x:v>
      </x:c>
      <x:c r="J17" s="32" t="n">
        <x:f>IFERROR(J16*(1+Monthly_Returns!K15),"")</x:f>
        <x:v>92.42014076881429</x:v>
      </x:c>
      <x:c r="K17" s="32" t="n">
        <x:f>IFERROR(K16*(1+Monthly_Returns!L15),"")</x:f>
        <x:v>96.98301113063852</x:v>
      </x:c>
      <x:c r="L17" s="32" t="n">
        <x:f>IFERROR(L16*(1+Monthly_Returns!M15),"")</x:f>
        <x:v>117.59099437148222</x:v>
      </x:c>
      <x:c r="N17" t="str">
        <x:v>2025-07</x:v>
      </x:c>
      <x:c r="O17" s="16" t="n">
        <x:f>I17/MAX($I$4:I17)-1</x:f>
        <x:v>-0.005600634256985204</x:v>
      </x:c>
      <x:c r="P17" s="16" t="n">
        <x:f>J17/MAX($J$4:J17)-1</x:f>
        <x:v>-0.15377751338488999</x:v>
      </x:c>
      <x:c r="Q17" s="16" t="n">
        <x:f>K17/MAX($K$4:K17)-1</x:f>
        <x:v>-0.10155349026524685</x:v>
      </x:c>
      <x:c r="R17" s="16" t="n">
        <x:f>L17/MAX($L$4:L17)-1</x:f>
        <x:v>0</x:v>
      </x:c>
    </x:row>
    <x:row r="18">
      <x:c r="H18" t="str">
        <x:v>2025-08</x:v>
      </x:c>
      <x:c r="I18" s="32" t="n">
        <x:f>IFERROR(I17*(1+AVERAGE(Monthly_Returns!B16:J16)),"")</x:f>
        <x:v>121.55393043161358</x:v>
      </x:c>
      <x:c r="J18" s="32" t="n">
        <x:f>IFERROR(J17*(1+Monthly_Returns!K16),"")</x:f>
        <x:v>96.9463995668652</x:v>
      </x:c>
      <x:c r="K18" s="32" t="n">
        <x:f>IFERROR(K17*(1+Monthly_Returns!L16),"")</x:f>
        <x:v>100.97393087287634</x:v>
      </x:c>
      <x:c r="L18" s="32" t="n">
        <x:f>IFERROR(L17*(1+Monthly_Returns!M16),"")</x:f>
        <x:v>120.0037523452158</x:v>
      </x:c>
      <x:c r="N18" t="str">
        <x:v>2025-08</x:v>
      </x:c>
      <x:c r="O18" s="16" t="n">
        <x:f>I18/MAX($I$4:I18)-1</x:f>
        <x:v>0</x:v>
      </x:c>
      <x:c r="P18" s="16" t="n">
        <x:f>J18/MAX($J$4:J18)-1</x:f>
        <x:v>-0.11233392821733079</x:v>
      </x:c>
      <x:c r="Q18" s="16" t="n">
        <x:f>K18/MAX($K$4:K18)-1</x:f>
        <x:v>-0.0645817787124352</x:v>
      </x:c>
      <x:c r="R18" s="16" t="n">
        <x:f>L18/MAX($L$4:L18)-1</x:f>
        <x:v>0</x:v>
      </x:c>
    </x:row>
    <x:row r="19">
      <x:c r="H19" t="str">
        <x:v>2025-09</x:v>
      </x:c>
      <x:c r="I19" s="32" t="n">
        <x:f>IFERROR(I18*(1+AVERAGE(Monthly_Returns!B17:J17)),"")</x:f>
        <x:v>178.04538638670084</x:v>
      </x:c>
      <x:c r="J19" s="32" t="n">
        <x:f>IFERROR(J18*(1+Monthly_Returns!K17),"")</x:f>
        <x:v>108.14293448835951</x:v>
      </x:c>
      <x:c r="K19" s="32" t="n">
        <x:f>IFERROR(K18*(1+Monthly_Returns!L17),"")</x:f>
        <x:v>105.52870533099</x:v>
      </x:c>
      <x:c r="L19" s="32" t="n">
        <x:f>IFERROR(L18*(1+Monthly_Returns!M17),"")</x:f>
        <x:v>124.27954971857416</x:v>
      </x:c>
      <x:c r="N19" t="str">
        <x:v>2025-09</x:v>
      </x:c>
      <x:c r="O19" s="16" t="n">
        <x:f>I19/MAX($I$4:I19)-1</x:f>
        <x:v>0</x:v>
      </x:c>
      <x:c r="P19" s="16" t="n">
        <x:f>J19/MAX($J$4:J19)-1</x:f>
        <x:v>-0.009815585960737505</x:v>
      </x:c>
      <x:c r="Q19" s="16" t="n">
        <x:f>K19/MAX($K$4:K19)-1</x:f>
        <x:v>-0.022386540940235067</x:v>
      </x:c>
      <x:c r="R19" s="16" t="n">
        <x:f>L19/MAX($L$4:L19)-1</x:f>
        <x:v>0</x:v>
      </x:c>
    </x:row>
    <x:row r="20">
      <x:c r="H20" t="str">
        <x:v>2025-10</x:v>
      </x:c>
      <x:c r="I20" s="32" t="n">
        <x:f>IFERROR(I19*(1+AVERAGE(Monthly_Returns!B18:J18)),"")</x:f>
        <x:v>214.9279628875482</x:v>
      </x:c>
      <x:c r="J20" s="32" t="n">
        <x:f>IFERROR(J19*(1+Monthly_Returns!K18),"")</x:f>
        <x:v>121.64591229020034</x:v>
      </x:c>
      <x:c r="K20" s="32" t="n">
        <x:f>IFERROR(K19*(1+Monthly_Returns!L18),"")</x:f>
        <x:v>116.49824253075565</x:v>
      </x:c>
      <x:c r="L20" s="32" t="n">
        <x:f>IFERROR(L19*(1+Monthly_Returns!M18),"")</x:f>
        <x:v>127.24202626641657</x:v>
      </x:c>
      <x:c r="N20" t="str">
        <x:v>2025-10</x:v>
      </x:c>
      <x:c r="O20" s="16" t="n">
        <x:f>I20/MAX($I$4:I20)-1</x:f>
        <x:v>0</x:v>
      </x:c>
      <x:c r="P20" s="16" t="n">
        <x:f>J20/MAX($J$4:J20)-1</x:f>
        <x:v>0</x:v>
      </x:c>
      <x:c r="Q20" s="16" t="n">
        <x:f>K20/MAX($K$4:K20)-1</x:f>
        <x:v>0</x:v>
      </x:c>
      <x:c r="R20" s="16" t="n">
        <x:f>L20/MAX($L$4:L20)-1</x:f>
        <x:v>0</x:v>
      </x:c>
    </x:row>
    <x:row r="21">
      <x:c r="H21" t="str">
        <x:v>2025-11</x:v>
      </x:c>
      <x:c r="I21" s="32" t="n">
        <x:f>IFERROR(I20*(1+AVERAGE(Monthly_Returns!B19:J19)),"")</x:f>
        <x:v>246.60115861839466</x:v>
      </x:c>
      <x:c r="J21" s="32" t="n">
        <x:f>IFERROR(J20*(1+Monthly_Returns!K19),"")</x:f>
        <x:v>132.91824580400652</x:v>
      </x:c>
      <x:c r="K21" s="32" t="n">
        <x:f>IFERROR(K20*(1+Monthly_Returns!L19),"")</x:f>
        <x:v>127.0650263620386</x:v>
      </x:c>
      <x:c r="L21" s="32" t="n">
        <x:f>IFERROR(L20*(1+Monthly_Returns!M19),"")</x:f>
        <x:v>127.48968105065671</x:v>
      </x:c>
      <x:c r="N21" t="str">
        <x:v>2025-11</x:v>
      </x:c>
      <x:c r="O21" s="16" t="n">
        <x:f>I21/MAX($I$4:I21)-1</x:f>
        <x:v>0</x:v>
      </x:c>
      <x:c r="P21" s="16" t="n">
        <x:f>J21/MAX($J$4:J21)-1</x:f>
        <x:v>0</x:v>
      </x:c>
      <x:c r="Q21" s="16" t="n">
        <x:f>K21/MAX($K$4:K21)-1</x:f>
        <x:v>0</x:v>
      </x:c>
      <x:c r="R21" s="16" t="n">
        <x:f>L21/MAX($L$4:L21)-1</x:f>
        <x:v>0</x:v>
      </x:c>
    </x:row>
    <x:row r="22">
      <x:c r="H22" t="str">
        <x:v>2025-12</x:v>
      </x:c>
      <x:c r="I22" s="32" t="n">
        <x:f>IFERROR(I21*(1+AVERAGE(Monthly_Returns!B20:J20)),"")</x:f>
        <x:v>268.9857192213961</x:v>
      </x:c>
      <x:c r="J22" s="32" t="n">
        <x:f>IFERROR(J21*(1+Monthly_Returns!K20),"")</x:f>
        <x:v>132.03031943692477</x:v>
      </x:c>
      <x:c r="K22" s="32" t="n">
        <x:f>IFERROR(K21*(1+Monthly_Returns!L20),"")</x:f>
        <x:v>123.49882835383707</x:v>
      </x:c>
      <x:c r="L22" s="32" t="n">
        <x:f>IFERROR(L21*(1+Monthly_Returns!M20),"")</x:f>
        <x:v>127.59099437148222</x:v>
      </x:c>
      <x:c r="N22" t="str">
        <x:v>2025-12</x:v>
      </x:c>
      <x:c r="O22" s="16" t="n">
        <x:f>I22/MAX($I$4:I22)-1</x:f>
        <x:v>0</x:v>
      </x:c>
      <x:c r="P22" s="16" t="n">
        <x:f>J22/MAX($J$4:J22)-1</x:f>
        <x:v>-0.006680244399185242</x:v>
      </x:c>
      <x:c r="Q22" s="16" t="n">
        <x:f>K22/MAX($K$4:K22)-1</x:f>
        <x:v>-0.02806592899953897</x:v>
      </x:c>
      <x:c r="R22" s="16" t="n">
        <x:f>L22/MAX($L$4:L22)-1</x:f>
        <x:v>0</x:v>
      </x:c>
    </x:row>
    <x:row r="23">
      <x:c r="H23" t="str">
        <x:v>2026-01</x:v>
      </x:c>
      <x:c r="I23" s="32" t="n">
        <x:f>IFERROR(I22*(1+AVERAGE(Monthly_Returns!B21:J21)),"")</x:f>
        <x:v>286.6455949301092</x:v>
      </x:c>
      <x:c r="J23" s="32" t="n">
        <x:f>IFERROR(J22*(1+Monthly_Returns!K21),"")</x:f>
        <x:v>135.08391987005956</x:v>
      </x:c>
      <x:c r="K23" s="32" t="n">
        <x:f>IFERROR(K22*(1+Monthly_Returns!L21),"")</x:f>
        <x:v>126.17164616285874</x:v>
      </x:c>
      <x:c r="L23" s="32" t="n">
        <x:f>IFERROR(L22*(1+Monthly_Returns!M21),"")</x:f>
        <x:v>129.47091932457792</x:v>
      </x:c>
      <x:c r="N23" t="str">
        <x:v>2026-01</x:v>
      </x:c>
      <x:c r="O23" s="16" t="n">
        <x:f>I23/MAX($I$4:I23)-1</x:f>
        <x:v>0</x:v>
      </x:c>
      <x:c r="P23" s="16" t="n">
        <x:f>J23/MAX($J$4:J23)-1</x:f>
        <x:v>0</x:v>
      </x:c>
      <x:c r="Q23" s="16" t="n">
        <x:f>K23/MAX($K$4:K23)-1</x:f>
        <x:v>-0.007030889810972885</x:v>
      </x:c>
      <x:c r="R23" s="16" t="n">
        <x:f>L23/MAX($L$4:L23)-1</x:f>
        <x:v>0</x:v>
      </x:c>
    </x:row>
    <x:row r="24">
      <x:c r="H24" t="str">
        <x:v>2026-02</x:v>
      </x:c>
      <x:c r="I24" s="32" t="n">
        <x:f>IFERROR(I23*(1+AVERAGE(Monthly_Returns!B22:J22)),"")</x:f>
        <x:v>271.4927392982806</x:v>
      </x:c>
      <x:c r="J24" s="32" t="n">
        <x:f>IFERROR(J23*(1+Monthly_Returns!K22),"")</x:f>
        <x:v>137.92095289658909</x:v>
      </x:c>
      <x:c r="K24" s="32" t="n">
        <x:f>IFERROR(K23*(1+Monthly_Returns!L22),"")</x:f>
        <x:v>128.3245459871118</x:v>
      </x:c>
      <x:c r="L24" s="32" t="n">
        <x:f>IFERROR(L23*(1+Monthly_Returns!M22),"")</x:f>
        <x:v>128.35272045028148</x:v>
      </x:c>
      <x:c r="N24" t="str">
        <x:v>2026-02</x:v>
      </x:c>
      <x:c r="O24" s="16" t="n">
        <x:f>I24/MAX($I$4:I24)-1</x:f>
        <x:v>-0.05286268444321718</x:v>
      </x:c>
      <x:c r="P24" s="16" t="n">
        <x:f>J24/MAX($J$4:J24)-1</x:f>
        <x:v>0</x:v>
      </x:c>
      <x:c r="Q24" s="16" t="n">
        <x:f>K24/MAX($K$4:K24)-1</x:f>
        <x:v>0</x:v>
      </x:c>
      <x:c r="R24" s="16" t="n">
        <x:f>L24/MAX($L$4:L24)-1</x:f>
        <x:v>-0.008636679805239966</x:v>
      </x:c>
    </x:row>
    <x:row r="25">
      <x:c r="H25" t="str">
        <x:v>2026-03</x:v>
      </x:c>
      <x:c r="I25" s="32" t="n">
        <x:f>IFERROR(I24*(1+AVERAGE(Monthly_Returns!B23:J23)),"")</x:f>
        <x:v>257.0527675876465</x:v>
      </x:c>
      <x:c r="J25" s="32" t="n">
        <x:f>IFERROR(J24*(1+Monthly_Returns!K23),"")</x:f>
        <x:v>138.31077422847864</x:v>
      </x:c>
      <x:c r="K25" s="32" t="n">
        <x:f>IFERROR(K24*(1+Monthly_Returns!L23),"")</x:f>
        <x:v>123.6452841241944</x:v>
      </x:c>
      <x:c r="L25" s="32" t="n">
        <x:f>IFERROR(L24*(1+Monthly_Returns!M23),"")</x:f>
        <x:v>122.01500938086309</x:v>
      </x:c>
      <x:c r="N25" t="str">
        <x:v>2026-03</x:v>
      </x:c>
      <x:c r="O25" s="16" t="n">
        <x:f>I25/MAX($I$4:I25)-1</x:f>
        <x:v>-0.10323838170155075</x:v>
      </x:c>
      <x:c r="P25" s="16" t="n">
        <x:f>J25/MAX($J$4:J25)-1</x:f>
        <x:v>0</x:v>
      </x:c>
      <x:c r="Q25" s="16" t="n">
        <x:f>K25/MAX($K$4:K25)-1</x:f>
        <x:v>-0.0364642775622005</x:v>
      </x:c>
      <x:c r="R25" s="16" t="n">
        <x:f>L25/MAX($L$4:L25)-1</x:f>
        <x:v>-0.05758752608393236</x:v>
      </x:c>
    </x:row>
    <x:row r="26">
      <x:c r="H26" t="str">
        <x:v>2026-04</x:v>
      </x:c>
      <x:c r="I26" s="32" t="n">
        <x:f>IFERROR(I25*(1+AVERAGE(Monthly_Returns!B24:J24)),"")</x:f>
        <x:v>258.4403998058316</x:v>
      </x:c>
      <x:c r="J26" s="32" t="n">
        <x:f>IFERROR(J25*(1+Monthly_Returns!K24),"")</x:f>
        <x:v>142.20898754737416</x:v>
      </x:c>
      <x:c r="K26" s="32" t="n">
        <x:f>IFERROR(K25*(1+Monthly_Returns!L24),"")</x:f>
        <x:v>123.52811950790853</x:v>
      </x:c>
      <x:c r="L26" s="32" t="n">
        <x:f>IFERROR(L25*(1+Monthly_Returns!M24),"")</x:f>
        <x:v>134.83302063789873</x:v>
      </x:c>
      <x:c r="N26" t="str">
        <x:v>2026-04</x:v>
      </x:c>
      <x:c r="O26" s="16" t="n">
        <x:f>I26/MAX($I$4:I26)-1</x:f>
        <x:v>-0.09839744835832798</x:v>
      </x:c>
      <x:c r="P26" s="16" t="n">
        <x:f>J26/MAX($J$4:J26)-1</x:f>
        <x:v>0</x:v>
      </x:c>
      <x:c r="Q26" s="16" t="n">
        <x:f>K26/MAX($K$4:K26)-1</x:f>
        <x:v>-0.037377311116183476</x:v>
      </x:c>
      <x:c r="R26" s="16" t="n">
        <x:f>L26/MAX($L$4:L26)-1</x:f>
        <x:v>0</x:v>
      </x:c>
    </x:row>
    <x:row r="27">
      <x:c r="H27" t="str">
        <x:v>2026-05</x:v>
      </x:c>
      <x:c r="I27" s="32" t="n">
        <x:f>IFERROR(I26*(1+AVERAGE(Monthly_Returns!B25:J25)),"")</x:f>
        <x:v>246.50169812168258</x:v>
      </x:c>
      <x:c r="J27" s="32" t="n">
        <x:f>IFERROR(J26*(1+Monthly_Returns!K25),"")</x:f>
        <x:v>148.01299404439635</x:v>
      </x:c>
      <x:c r="K27" s="32" t="n">
        <x:f>IFERROR(K26*(1+Monthly_Returns!L25),"")</x:f>
        <x:v>126.08377270064432</x:v>
      </x:c>
      <x:c r="L27" s="32" t="n">
        <x:f>IFERROR(L26*(1+Monthly_Returns!M25),"")</x:f>
        <x:v>141.92870544090061</x:v>
      </x:c>
      <x:c r="N27" t="str">
        <x:v>2026-05</x:v>
      </x:c>
      <x:c r="O27" s="16" t="n">
        <x:f>I27/MAX($I$4:I27)-1</x:f>
        <x:v>-0.14004714364515047</x:v>
      </x:c>
      <x:c r="P27" s="16" t="n">
        <x:f>J27/MAX($J$4:J27)-1</x:f>
        <x:v>0</x:v>
      </x:c>
      <x:c r="Q27" s="16" t="n">
        <x:f>K27/MAX($K$4:K27)-1</x:f>
        <x:v>-0.01746176671992694</x:v>
      </x:c>
      <x:c r="R27" s="16" t="n">
        <x:f>L27/MAX($L$4:L27)-1</x:f>
        <x:v>0</x:v>
      </x:c>
    </x:row>
    <x:row r="28">
      <x:c r="H28" t="str">
        <x:v>2026-06</x:v>
      </x:c>
      <x:c r="I28" s="32" t="n">
        <x:f>IFERROR(I27*(1+AVERAGE(Monthly_Returns!B26:J26)),"")</x:f>
        <x:v>228.66062048580343</x:v>
      </x:c>
      <x:c r="J28" s="32" t="n">
        <x:f>IFERROR(J27*(1+Monthly_Returns!K26),"")</x:f>
        <x:v>144.8727666486194</x:v>
      </x:c>
      <x:c r="K28" s="32" t="n">
        <x:f>IFERROR(K27*(1+Monthly_Returns!L26),"")</x:f>
        <x:v>126.12770943175153</x:v>
      </x:c>
      <x:c r="L28" s="32" t="n">
        <x:f>IFERROR(L27*(1+Monthly_Returns!M26),"")</x:f>
        <x:v>141.0881801125704</x:v>
      </x:c>
      <x:c r="N28" t="str">
        <x:v>2026-06</x:v>
      </x:c>
      <x:c r="O28" s="16" t="n">
        <x:f>I28/MAX($I$4:I28)-1</x:f>
        <x:v>-0.20228803606224555</x:v>
      </x:c>
      <x:c r="P28" s="16" t="n">
        <x:f>J28/MAX($J$4:J28)-1</x:f>
        <x:v>-0.02121588997000523</x:v>
      </x:c>
      <x:c r="Q28" s="16" t="n">
        <x:f>K28/MAX($K$4:K28)-1</x:f>
        <x:v>-0.01711937913718331</x:v>
      </x:c>
      <x:c r="R28" s="16" t="n">
        <x:f>L28/MAX($L$4:L28)-1</x:f>
        <x:v>-0.005922165820643088</x:v>
      </x:c>
    </x:row>
  </x:sheetData>
  <x:mergeCells>
    <x:mergeCell ref="A1:E1"/>
  </x:mergeCells>
  <x:conditionalFormatting sqref="B4:F7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  <x:drawing xmlns:r="http://schemas.openxmlformats.org/officeDocument/2006/relationships" r:id="R97804f6a596e4ea4"/>
</x:worksheet>
</file>

<file path=xl/worksheets/sheet5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20" hidden="0" customWidth="1"/>
    <x:col min="3" max="3" width="12.130000114440918" hidden="0" customWidth="1"/>
    <x:col min="4" max="4" width="12.25" hidden="0" customWidth="1"/>
    <x:col min="5" max="5" width="6.75" hidden="0" customWidth="1"/>
    <x:col min="6" max="6" width="7.75" hidden="0" customWidth="1"/>
    <x:col min="7" max="7" width="9.5" hidden="0" customWidth="1"/>
    <x:col min="8" max="8" width="9.75" hidden="0" customWidth="1"/>
    <x:col min="9" max="9" width="38" hidden="0" customWidth="1"/>
    <x:col min="10" max="10" width="40" hidden="0" customWidth="1"/>
  </x:cols>
  <x:sheetData>
    <x:row r="1">
      <x:c r="A1" s="42" t="str">
        <x:v>Ticker</x:v>
      </x:c>
      <x:c r="B1" s="42" t="str">
        <x:v>Company / ETF</x:v>
      </x:c>
      <x:c r="C1" s="42" t="str">
        <x:v>Current Price</x:v>
      </x:c>
      <x:c r="D1" s="42" t="str">
        <x:v>Market Cap</x:v>
      </x:c>
      <x:c r="E1" s="42" t="str">
        <x:v>EPS</x:v>
      </x:c>
      <x:c r="F1" s="42" t="str">
        <x:v>P/E</x:v>
      </x:c>
      <x:c r="G1" s="42" t="str">
        <x:v>52W Low</x:v>
      </x:c>
      <x:c r="H1" s="42" t="str">
        <x:v>52W High</x:v>
      </x:c>
      <x:c r="I1" s="42" t="str">
        <x:v>Notes</x:v>
      </x:c>
      <x:c r="J1" s="42" t="str">
        <x:v>Source URL</x:v>
      </x:c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t="str">
        <x:v>NBTX</x:v>
      </x:c>
      <x:c r="B2" t="str">
        <x:v>Nanobiotix</x:v>
      </x:c>
      <x:c r="C2" s="30" t="n">
        <x:v>35.5</x:v>
      </x:c>
      <x:c r="D2" s="34" t="n">
        <x:v>1673233144</x:v>
      </x:c>
      <x:c r="E2" s="30"/>
      <x:c r="F2" s="30"/>
      <x:c r="G2" s="30" t="n">
        <x:v>4.18</x:v>
      </x:c>
      <x:c r="H2" s="30" t="n">
        <x:v>57.14</x:v>
      </x:c>
      <x:c r="I2" t="str">
        <x:v>JNJ-1900 royalty/platform thesis; current data from finance + Google source</x:v>
      </x:c>
      <x:c r="J2" t="str">
        <x:v>https://www.google.com/finance/quote/NBTX:NASDAQ</x:v>
      </x:c>
    </x:row>
    <x:row r="3">
      <x:c r="A3" t="str">
        <x:v>IONS</x:v>
      </x:c>
      <x:c r="B3" t="str">
        <x:v>Ionis Pharmaceuticals</x:v>
      </x:c>
      <x:c r="C3" s="30" t="n">
        <x:v>73.4</x:v>
      </x:c>
      <x:c r="D3" s="34" t="n">
        <x:v>12101751600</x:v>
      </x:c>
      <x:c r="E3" s="30" t="n">
        <x:v>-2.01</x:v>
      </x:c>
      <x:c r="F3" s="30" t="n">
        <x:v>-36.52</x:v>
      </x:c>
      <x:c r="G3" s="30"/>
      <x:c r="H3" s="30"/>
      <x:c r="I3" t="str">
        <x:v>Commercial RNA therapeutics; current data from finance</x:v>
      </x:c>
      <x:c r="J3" t="str">
        <x:v>https://finance.yahoo.com/quote/IONS</x:v>
      </x:c>
    </x:row>
    <x:row r="4">
      <x:c r="A4" t="str">
        <x:v>CYTK</x:v>
      </x:c>
      <x:c r="B4" t="str">
        <x:v>Cytokinetics</x:v>
      </x:c>
      <x:c r="C4" s="30" t="n">
        <x:v>76.34</x:v>
      </x:c>
      <x:c r="D4" s="34" t="n">
        <x:v>9404497170</x:v>
      </x:c>
      <x:c r="E4" s="30" t="n">
        <x:v>-6.85</x:v>
      </x:c>
      <x:c r="F4" s="30" t="n">
        <x:v>-11.14</x:v>
      </x:c>
      <x:c r="G4" s="30" t="n">
        <x:v>31.52</x:v>
      </x:c>
      <x:c r="H4" s="30" t="n">
        <x:v>80.2</x:v>
      </x:c>
      <x:c r="I4" t="str">
        <x:v>Commercial CV biotech; price history from Digrin</x:v>
      </x:c>
      <x:c r="J4" t="str">
        <x:v>https://www.digrin.com/stocks/detail/CYTK/price</x:v>
      </x:c>
    </x:row>
    <x:row r="5">
      <x:c r="A5" t="str">
        <x:v>GRAL</x:v>
      </x:c>
      <x:c r="B5" t="str">
        <x:v>GRAIL</x:v>
      </x:c>
      <x:c r="C5" s="30" t="n">
        <x:v>59.34</x:v>
      </x:c>
      <x:c r="D5" s="34" t="n">
        <x:v>2411629760</x:v>
      </x:c>
      <x:c r="E5" s="30" t="n">
        <x:v>-10.3</x:v>
      </x:c>
      <x:c r="F5" s="30" t="n">
        <x:v>-5.76</x:v>
      </x:c>
      <x:c r="G5" s="30" t="n">
        <x:v>29.95</x:v>
      </x:c>
      <x:c r="H5" s="30" t="n">
        <x:v>118.84</x:v>
      </x:c>
      <x:c r="I5" t="str">
        <x:v>Diagnostics / MCED adoption; price history from Digrin</x:v>
      </x:c>
      <x:c r="J5" t="str">
        <x:v>https://www.digrin.com/stocks/detail/GRAL/price</x:v>
      </x:c>
    </x:row>
    <x:row r="6">
      <x:c r="A6" t="str">
        <x:v>CDNA</x:v>
      </x:c>
      <x:c r="B6" t="str">
        <x:v>CareDx</x:v>
      </x:c>
      <x:c r="C6" s="30" t="n">
        <x:v>23.71</x:v>
      </x:c>
      <x:c r="D6" s="34" t="n">
        <x:v>1262898389</x:v>
      </x:c>
      <x:c r="E6" s="30" t="n">
        <x:v>-0.16</x:v>
      </x:c>
      <x:c r="F6" s="30" t="n">
        <x:v>-148.56</x:v>
      </x:c>
      <x:c r="G6" s="30" t="n">
        <x:v>10.96</x:v>
      </x:c>
      <x:c r="H6" s="30" t="n">
        <x:v>25.55</x:v>
      </x:c>
      <x:c r="I6" t="str">
        <x:v>Transplant diagnostics; price history from Digrin/Yahoo</x:v>
      </x:c>
      <x:c r="J6" t="str">
        <x:v>https://www.digrin.com/stocks/detail/CDNA/price</x:v>
      </x:c>
    </x:row>
    <x:row r="7">
      <x:c r="A7" t="str">
        <x:v>CTMX</x:v>
      </x:c>
      <x:c r="B7" t="str">
        <x:v>CytomX Therapeutics</x:v>
      </x:c>
      <x:c r="C7" s="30" t="n">
        <x:v>2.975</x:v>
      </x:c>
      <x:c r="D7" s="34" t="n">
        <x:v>527387175</x:v>
      </x:c>
      <x:c r="E7" s="30"/>
      <x:c r="F7" s="30" t="n">
        <x:v>10</x:v>
      </x:c>
      <x:c r="G7" s="30"/>
      <x:c r="H7" s="30"/>
      <x:c r="I7" t="str">
        <x:v>Binary oncology ADC; price history from Digrin</x:v>
      </x:c>
      <x:c r="J7" t="str">
        <x:v>https://www.digrin.com/stocks/detail/CTMX/price</x:v>
      </x:c>
    </x:row>
    <x:row r="8">
      <x:c r="A8" t="str">
        <x:v>GPCR</x:v>
      </x:c>
      <x:c r="B8" t="str">
        <x:v>Structure Therapeutics</x:v>
      </x:c>
      <x:c r="C8" s="30" t="n">
        <x:v>42.64</x:v>
      </x:c>
      <x:c r="D8" s="34" t="n">
        <x:v>9266780640</x:v>
      </x:c>
      <x:c r="E8" s="30" t="n">
        <x:v>-0.88</x:v>
      </x:c>
      <x:c r="F8" s="30" t="n">
        <x:v>-48.45</x:v>
      </x:c>
      <x:c r="G8" s="30" t="n">
        <x:v>15.8</x:v>
      </x:c>
      <x:c r="H8" s="30" t="n">
        <x:v>94.9</x:v>
      </x:c>
      <x:c r="I8" t="str">
        <x:v>Oral obesity / GLP-1; price history from Digrin</x:v>
      </x:c>
      <x:c r="J8" t="str">
        <x:v>https://www.digrin.com/stocks/detail/GPCR/price</x:v>
      </x:c>
    </x:row>
    <x:row r="9">
      <x:c r="A9" t="str">
        <x:v>IDYA</x:v>
      </x:c>
      <x:c r="B9" t="str">
        <x:v>IDEAYA Biosciences</x:v>
      </x:c>
      <x:c r="C9" s="30" t="n">
        <x:v>30.69</x:v>
      </x:c>
      <x:c r="D9" s="34" t="n">
        <x:v>2722195450</x:v>
      </x:c>
      <x:c r="E9" s="30" t="n">
        <x:v>-1.57</x:v>
      </x:c>
      <x:c r="F9" s="30" t="n">
        <x:v>-19.55</x:v>
      </x:c>
      <x:c r="G9" s="30" t="n">
        <x:v>20.5</x:v>
      </x:c>
      <x:c r="H9" s="30" t="n">
        <x:v>39.28</x:v>
      </x:c>
      <x:c r="I9" t="str">
        <x:v>Precision oncology; price history from Digrin</x:v>
      </x:c>
      <x:c r="J9" t="str">
        <x:v>https://www.digrin.com/stocks/detail/IDYA/price</x:v>
      </x:c>
    </x:row>
    <x:row r="10">
      <x:c r="A10" t="str">
        <x:v>NRIX</x:v>
      </x:c>
      <x:c r="B10" t="str">
        <x:v>Nurix Therapeutics</x:v>
      </x:c>
      <x:c r="C10" s="30" t="n">
        <x:v>17.15</x:v>
      </x:c>
      <x:c r="D10" s="34" t="n">
        <x:v>1887729106</x:v>
      </x:c>
      <x:c r="E10" s="30" t="n">
        <x:v>-3.17</x:v>
      </x:c>
      <x:c r="F10" s="30" t="n">
        <x:v>-5.41</x:v>
      </x:c>
      <x:c r="G10" s="30"/>
      <x:c r="H10" s="30"/>
      <x:c r="I10" t="str">
        <x:v>BTK degrader / Roche-backed; price history from Digrin</x:v>
      </x:c>
      <x:c r="J10" t="str">
        <x:v>https://www.digrin.com/stocks/detail/NRIX/price</x:v>
      </x:c>
    </x:row>
    <x:row r="11">
      <x:c r="A11" t="str">
        <x:v>XBI</x:v>
      </x:c>
      <x:c r="B11" t="str">
        <x:v>SPDR S&amp;P Biotech ETF</x:v>
      </x:c>
      <x:c r="C11" s="30" t="n">
        <x:v>136.03</x:v>
      </x:c>
      <x:c r="D11" s="34" t="n">
        <x:v>7104166750</x:v>
      </x:c>
      <x:c r="E11" s="30"/>
      <x:c r="F11" s="30"/>
      <x:c r="G11" s="30"/>
      <x:c r="H11" s="30"/>
      <x:c r="I11" t="str">
        <x:v>Benchmark</x:v>
      </x:c>
      <x:c r="J11" t="str">
        <x:v>https://www.digrin.com/stocks/detail/XBI/price</x:v>
      </x:c>
    </x:row>
    <x:row r="12">
      <x:c r="A12" t="str">
        <x:v>IBB</x:v>
      </x:c>
      <x:c r="B12" t="str">
        <x:v>iShares Biotechnology ETF</x:v>
      </x:c>
      <x:c r="C12" s="30" t="n">
        <x:v>171.96</x:v>
      </x:c>
      <x:c r="D12" s="34" t="n">
        <x:v>12312336000</x:v>
      </x:c>
      <x:c r="E12" s="30"/>
      <x:c r="F12" s="30"/>
      <x:c r="G12" s="30"/>
      <x:c r="H12" s="30"/>
      <x:c r="I12" t="str">
        <x:v>Benchmark</x:v>
      </x:c>
      <x:c r="J12" t="str">
        <x:v>https://www.digrin.com/stocks/detail/IBB/price</x:v>
      </x:c>
    </x:row>
    <x:row r="13">
      <x:c r="A13" t="str">
        <x:v>SPY</x:v>
      </x:c>
      <x:c r="B13" t="str">
        <x:v>SPDR S&amp;P 500 ETF Trust</x:v>
      </x:c>
      <x:c r="C13" s="30" t="n">
        <x:v>750.94</x:v>
      </x:c>
      <x:c r="D13" s="34" t="n">
        <x:v>664952795010</x:v>
      </x:c>
      <x:c r="E13" s="30"/>
      <x:c r="F13" s="30"/>
      <x:c r="G13" s="30"/>
      <x:c r="H13" s="30"/>
      <x:c r="I13" t="str">
        <x:v>Benchmark</x:v>
      </x:c>
      <x:c r="J13" t="str">
        <x:v>https://www.digrin.com/stocks/detail/SPY/price</x:v>
      </x:c>
    </x:row>
  </x:sheetData>
  <x:pageMargins left="0.7" right="0.7" top="0.75" bottom="0.75" header="0.3" footer="0.3"/>
  <x:tableParts count="1">
    <x:tablePart xmlns:r="http://schemas.openxmlformats.org/officeDocument/2006/relationships" r:id="Rd2e5674311ce42c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9.75" hidden="0" customWidth="1"/>
    <x:col min="2" max="2" width="80" hidden="0" customWidth="1"/>
  </x:cols>
  <x:sheetData>
    <x:row r="1">
      <x:c r="A1" s="44" t="str">
        <x:v>Backtest Methodology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3">
      <x:c r="A3" s="24" t="str">
        <x:v>Universe</x:v>
      </x:c>
      <x:c r="B3" s="26" t="str">
        <x:v>9 named watchlist stocks from user thesis notes: NBTX, IONS, CYTK, GRAL, CDNA, CTMX, GPCR, IDYA, NRIX.</x:v>
      </x:c>
    </x:row>
    <x:row r="4">
      <x:c r="A4" s="24" t="str">
        <x:v>Price Data</x:v>
      </x:c>
      <x:c r="B4" s="26" t="str">
        <x:v>Monthly adjusted prices from Digrin where available; current market data from web finance tool and issuer/Yahoo/Google snippets.</x:v>
      </x:c>
    </x:row>
    <x:row r="5">
      <x:c r="A5" s="24" t="str">
        <x:v>Start Date</x:v>
      </x:c>
      <x:c r="B5" s="26" t="str">
        <x:v>2024-06. Chosen because GRAL history begins in June 2024, allowing a complete current-watchlist sample.</x:v>
      </x:c>
    </x:row>
    <x:row r="6">
      <x:c r="A6" s="24" t="str">
        <x:v>Portfolio Construction</x:v>
      </x:c>
      <x:c r="B6" s="26" t="str">
        <x:v>Equal-weight basket, monthly rebalanced proxy. Return = average of available constituent monthly returns.</x:v>
      </x:c>
    </x:row>
    <x:row r="7">
      <x:c r="A7" s="24" t="str">
        <x:v>Benchmarks</x:v>
      </x:c>
      <x:c r="B7" s="26" t="str">
        <x:v>XBI, IBB, SPY.</x:v>
      </x:c>
    </x:row>
    <x:row r="8">
      <x:c r="A8" s="24" t="str">
        <x:v>Risk-Free Rate</x:v>
      </x:c>
      <x:c r="B8" s="26" t="str">
        <x:v>4.0% annual assumed for Sharpe calculation.</x:v>
      </x:c>
    </x:row>
    <x:row r="9">
      <x:c r="A9" s="24" t="str">
        <x:v>Key Limitation</x:v>
      </x:c>
      <x:c r="B9" s="26" t="str">
        <x:v>This is not point-in-time factor testing. It tests the realized performance of the selected watchlist, not whether the scoring model predicted returns.</x:v>
      </x:c>
    </x:row>
    <x:row r="10">
      <x:c r="A10" s="24" t="str">
        <x:v>Missing Data Handling</x:v>
      </x:c>
      <x:c r="B10" s="26" t="str">
        <x:v>Blank prices produce blank returns; basket return averages available constituents when at least 8 of 9 returns exist.</x:v>
      </x:c>
    </x:row>
    <x:row r="11">
      <x:c r="A11" s="24" t="str">
        <x:v>Recommended Next Step</x:v>
      </x:c>
      <x:c r="B11" s="26" t="str">
        <x:v>Option B: point-in-time quarterly scoring across a wider biotech universe with historical factor data.</x:v>
      </x:c>
    </x:row>
    <x:row r="12">
      <x:c r="A12" s="24" t="str">
        <x:v>Investment Use</x:v>
      </x:c>
      <x:c r="B12" s="26" t="str">
        <x:v>Research / educational model only; not investment advice.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1.5" hidden="0" customWidth="1"/>
    <x:col min="2" max="2" width="38.25" hidden="0" customWidth="1"/>
    <x:col min="3" max="3" width="52.880001068115234" hidden="0" customWidth="1"/>
    <x:col min="4" max="4" width="60" hidden="0" customWidth="1"/>
  </x:cols>
  <x:sheetData>
    <x:row r="1">
      <x:c r="A1" s="46" t="str">
        <x:v>Source</x:v>
      </x:c>
      <x:c r="B1" s="46" t="str">
        <x:v>Type</x:v>
      </x:c>
      <x:c r="C1" s="46" t="str">
        <x:v>Used For</x:v>
      </x:c>
      <x:c r="D1" s="46" t="str">
        <x:v>URL</x:v>
      </x:c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t="str">
        <x:v>Digrin Monthly Price History</x:v>
      </x:c>
      <x:c r="B2" t="str">
        <x:v>Historical monthly adjusted prices</x:v>
      </x:c>
      <x:c r="C2" t="str">
        <x:v>NBTX, IONS, CYTK, GRAL, CDNA, CTMX, GPCR, IDYA, NRIX, XBI, IBB, SPY</x:v>
      </x:c>
      <x:c r="D2" t="str">
        <x:v>https://www.digrin.com/stocks/detail/{TICKER}/price</x:v>
      </x:c>
    </x:row>
    <x:row r="3">
      <x:c r="A3" t="str">
        <x:v>Web finance tool</x:v>
      </x:c>
      <x:c r="B3" t="str">
        <x:v>Current price, market cap, EPS/P/E where available</x:v>
      </x:c>
      <x:c r="C3" t="str">
        <x:v>Current factor snapshot</x:v>
      </x:c>
      <x:c r="D3" t="str">
        <x:v>OpenAI finance tool, retrieved 2026-06-16</x:v>
      </x:c>
    </x:row>
    <x:row r="4">
      <x:c r="A4" t="str">
        <x:v>Yahoo Finance</x:v>
      </x:c>
      <x:c r="B4" t="str">
        <x:v>Historical price availability / current cross-check</x:v>
      </x:c>
      <x:c r="C4" t="str">
        <x:v>Ticker-level validation</x:v>
      </x:c>
      <x:c r="D4" t="str">
        <x:v>https://finance.yahoo.com</x:v>
      </x:c>
    </x:row>
    <x:row r="5">
      <x:c r="A5" t="str">
        <x:v>Google Finance snippets</x:v>
      </x:c>
      <x:c r="B5" t="str">
        <x:v>Analyst ratings, 52-week range where available</x:v>
      </x:c>
      <x:c r="C5" t="str">
        <x:v>Factor context</x:v>
      </x:c>
      <x:c r="D5" t="str">
        <x:v>https://www.google.com/finance</x:v>
      </x:c>
    </x:row>
    <x:row r="6">
      <x:c r="A6" t="str">
        <x:v>User watchlist notes</x:v>
      </x:c>
      <x:c r="B6" t="str">
        <x:v>Thesis descriptions</x:v>
      </x:c>
      <x:c r="C6" t="str">
        <x:v>Universe construction</x:v>
      </x:c>
      <x:c r="D6" t="str">
        <x:v>Uploaded file: Pasted text(3).txt</x:v>
      </x:c>
    </x:row>
  </x:sheetData>
  <x:pageMargins left="0.7" right="0.7" top="0.75" bottom="0.75" header="0.3" footer="0.3"/>
  <x:tableParts count="1">
    <x:tablePart xmlns:r="http://schemas.openxmlformats.org/officeDocument/2006/relationships" r:id="R4bfb6f182ef94751"/>
  </x:tableParts>
</x:worksheet>
</file>